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HECKS" sheetId="2" state="visible" r:id="rId4"/>
    <sheet name="CYCLES" sheetId="3" state="visible" r:id="rId5"/>
    <sheet name="SCORES" sheetId="4" state="visible" r:id="rId6"/>
    <sheet name="RECHECKS" sheetId="5" state="visible" r:id="rId7"/>
    <sheet name="HUDDLE" sheetId="6" state="visible" r:id="rId8"/>
    <sheet name="UNITS" sheetId="7" state="visible" r:id="rId9"/>
    <sheet name="STUDEN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W01 has no comparison check (nothing taught before it under the plan); its re-check uses 5 retaught items and the comparison columns stay blank.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Columns F-J are formulas. When you add rows, copy F:J down from the row above.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From Focus item analysis if it gives benchmark-level results; otherwise from the test blueprint (which items map to which benchmark).</t>
        </r>
      </text>
    </comment>
  </commentList>
</comments>
</file>

<file path=xl/sharedStrings.xml><?xml version="1.0" encoding="utf-8"?>
<sst xmlns="http://schemas.openxmlformats.org/spreadsheetml/2006/main" count="2318" uniqueCount="124">
  <si>
    <t xml:space="preserve">7th Grade Math Team - Weekly Check Tracker (DPP 2026-27)</t>
  </si>
  <si>
    <t xml:space="preserve">Who touches what</t>
  </si>
  <si>
    <t xml:space="preserve">CHECKS, SCORES, RECHECKS, HUDDLE, UNITS: Croix enters. Blue text = you type it.</t>
  </si>
  <si>
    <t xml:space="preserve">STUDENTS and CYCLES: formulas only. Do not type there. Screenshot CYCLES for the DPP.</t>
  </si>
  <si>
    <t xml:space="preserve">Rules</t>
  </si>
  <si>
    <t xml:space="preserve">Student codes only (S01-S25 per section). The name key lives on paper in the binder.</t>
  </si>
  <si>
    <t xml:space="preserve">Absent = A (text). Formulas skip text, so an absent student is excluded, not zeroed.</t>
  </si>
  <si>
    <t xml:space="preserve">Mastery = 4 or more out of 5 on a weekly check.</t>
  </si>
  <si>
    <t xml:space="preserve">A cycle = a check with Retaught = y, plus RECHECKS rows for it. The re-check has 3 items on the retaught benchmark and 2 on the Comparison check's benchmark (a benchmark taught but not retaught).</t>
  </si>
  <si>
    <t xml:space="preserve">Net gain = (re-check % - first-check %) on the retaught benchmark, minus the same change on the comparison items. Paired students only (both scores present).</t>
  </si>
  <si>
    <t xml:space="preserve">This copy holds SYNTHETIC data for six weeks so you can see the formulas work. Clear SCORES, RECHECKS, HUDDLE, UNITS and CHECKS rows 2+ before real use; keep row 1.</t>
  </si>
  <si>
    <t xml:space="preserve">Built for import into Google Sheets (school account). Formulas use only functions Sheets supports.</t>
  </si>
  <si>
    <t xml:space="preserve">Check ID</t>
  </si>
  <si>
    <t xml:space="preserve">Date</t>
  </si>
  <si>
    <t xml:space="preserve">Benchmark</t>
  </si>
  <si>
    <t xml:space="preserve">Backstop (y/n)</t>
  </si>
  <si>
    <t xml:space="preserve">Retaught (y/n)</t>
  </si>
  <si>
    <t xml:space="preserve">Comparison check ID</t>
  </si>
  <si>
    <t xml:space="preserve">Notes</t>
  </si>
  <si>
    <t xml:space="preserve">W01</t>
  </si>
  <si>
    <t xml:space="preserve">MA.7.NSO.2.1</t>
  </si>
  <si>
    <t xml:space="preserve">n</t>
  </si>
  <si>
    <t xml:space="preserve">y</t>
  </si>
  <si>
    <t xml:space="preserve">W02</t>
  </si>
  <si>
    <t xml:space="preserve">MA.7.AR.1.1</t>
  </si>
  <si>
    <t xml:space="preserve">W03</t>
  </si>
  <si>
    <t xml:space="preserve">MA.7.AR.1.2</t>
  </si>
  <si>
    <t xml:space="preserve">W04</t>
  </si>
  <si>
    <t xml:space="preserve">MA.7.AR.2.1</t>
  </si>
  <si>
    <t xml:space="preserve">W05</t>
  </si>
  <si>
    <t xml:space="preserve">MA.7.AR.3.1</t>
  </si>
  <si>
    <t xml:space="preserve">W06</t>
  </si>
  <si>
    <t xml:space="preserve">MA.7.AR.3.2</t>
  </si>
  <si>
    <t xml:space="preserve">W07</t>
  </si>
  <si>
    <t xml:space="preserve">MA.7.AR.4.1</t>
  </si>
  <si>
    <t xml:space="preserve">entered, re-check not yet given</t>
  </si>
  <si>
    <t xml:space="preserve">W08</t>
  </si>
  <si>
    <t xml:space="preserve">MA.7.AR.4.2</t>
  </si>
  <si>
    <t xml:space="preserve">Reteach cycles - the DPP exhibit</t>
  </si>
  <si>
    <t xml:space="preserve">One row per check marked Retaught = y. Paired students only. Net gain = gain on the retaught benchmark minus the change on comparison items from a benchmark that was not retaught.</t>
  </si>
  <si>
    <t xml:space="preserve">n paired</t>
  </si>
  <si>
    <t xml:space="preserve">First check % (retaught bm)</t>
  </si>
  <si>
    <t xml:space="preserve">Re-check % (3 items)</t>
  </si>
  <si>
    <t xml:space="preserve">Gain (pts)</t>
  </si>
  <si>
    <t xml:space="preserve">Comparison check</t>
  </si>
  <si>
    <t xml:space="preserve">n comp. paired</t>
  </si>
  <si>
    <t xml:space="preserve">Comparison first %</t>
  </si>
  <si>
    <t xml:space="preserve">Comparison re-check % (2 items)</t>
  </si>
  <si>
    <t xml:space="preserve">Comparison change (pts)</t>
  </si>
  <si>
    <t xml:space="preserve">Net gain (pts)</t>
  </si>
  <si>
    <t xml:space="preserve">Gap at first check (pts)</t>
  </si>
  <si>
    <t xml:space="preserve">Gap on unit test (pts)</t>
  </si>
  <si>
    <t xml:space="preserve">Mastery % - C</t>
  </si>
  <si>
    <t xml:space="preserve">Mastery % - J</t>
  </si>
  <si>
    <t xml:space="preserve">Gap C-J (pts)</t>
  </si>
  <si>
    <t xml:space="preserve">Summary</t>
  </si>
  <si>
    <t xml:space="preserve">Cycles with data</t>
  </si>
  <si>
    <t xml:space="preserve">Cycles with positive net gain</t>
  </si>
  <si>
    <t xml:space="preserve">Pooled gain (pts, mean)</t>
  </si>
  <si>
    <t xml:space="preserve">Pooled comparison change (pts, mean)</t>
  </si>
  <si>
    <t xml:space="preserve">Pooled net gain (pts, mean)</t>
  </si>
  <si>
    <t xml:space="preserve">Total paired student-cycles</t>
  </si>
  <si>
    <t xml:space="preserve">Cycles with n paired &lt; 40 (treat with caution)</t>
  </si>
  <si>
    <t xml:space="preserve">Code</t>
  </si>
  <si>
    <t xml:space="preserve">Teacher</t>
  </si>
  <si>
    <t xml:space="preserve">Score (/5)</t>
  </si>
  <si>
    <t xml:space="preserve">Level (1-4)</t>
  </si>
  <si>
    <t xml:space="preserve">S01</t>
  </si>
  <si>
    <t xml:space="preserve">C</t>
  </si>
  <si>
    <t xml:space="preserve">S02</t>
  </si>
  <si>
    <t xml:space="preserve">A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</si>
  <si>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</si>
  <si>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</si>
  <si>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</si>
  <si>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</si>
  <si>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</si>
  <si>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</si>
  <si>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</si>
  <si>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</si>
  <si>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</si>
  <si>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</si>
  <si>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</si>
  <si>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</si>
  <si>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</si>
  <si>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</si>
  <si>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</si>
  <si>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</si>
  <si>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</si>
  <si>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</si>
  <si>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</si>
  <si>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</si>
  <si>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</si>
  <si>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</si>
  <si>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</si>
  <si>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J</t>
  </si>
  <si>
    <t xml:space="preserve">Retaught correct (/3)</t>
  </si>
  <si>
    <t xml:space="preserve">Comparison correct (/2)</t>
  </si>
  <si>
    <t xml:space="preserve">First score (/5)</t>
  </si>
  <si>
    <t xml:space="preserve">Paired</t>
  </si>
  <si>
    <t xml:space="preserve">Comparison first score (/5)</t>
  </si>
  <si>
    <t xml:space="preserve">Comparison paired</t>
  </si>
  <si>
    <t xml:space="preserve">Item that gave the most trouble</t>
  </si>
  <si>
    <t xml:space="preserve">Decision (what gets retaught)</t>
  </si>
  <si>
    <t xml:space="preserve">In person / Paper</t>
  </si>
  <si>
    <t xml:space="preserve">Item 3</t>
  </si>
  <si>
    <t xml:space="preserve">negative divisors - reteach sign rules with number line</t>
  </si>
  <si>
    <t xml:space="preserve">In person</t>
  </si>
  <si>
    <t xml:space="preserve">Item 5</t>
  </si>
  <si>
    <t xml:space="preserve">setting up the proportion from a word problem</t>
  </si>
  <si>
    <t xml:space="preserve">Paper</t>
  </si>
  <si>
    <t xml:space="preserve">Item 2</t>
  </si>
  <si>
    <t xml:space="preserve">unit rate with fractions - reteach complex fraction division</t>
  </si>
  <si>
    <t xml:space="preserve">Item 4</t>
  </si>
  <si>
    <t xml:space="preserve">identifying constant of proportionality from a table</t>
  </si>
  <si>
    <t xml:space="preserve">Item 1</t>
  </si>
  <si>
    <t xml:space="preserve">percent change direction (increase vs decrease)</t>
  </si>
  <si>
    <t xml:space="preserve">simple interest with time in months</t>
  </si>
  <si>
    <t xml:space="preserve">Unit test date</t>
  </si>
  <si>
    <t xml:space="preserve">Class % correct on this benchmark's items</t>
  </si>
  <si>
    <t xml:space="preserve">Class % correct, whole test</t>
  </si>
  <si>
    <t xml:space="preserve">Checks taken</t>
  </si>
  <si>
    <t xml:space="preserve">Checks at mastery (4+)</t>
  </si>
  <si>
    <t xml:space="preserve">Mastery rate</t>
  </si>
  <si>
    <t xml:space="preserve">Flag (&lt;50%)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</si>
</sst>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/dd/yyyy"/>
    <numFmt numFmtId="166" formatCode="0%"/>
    <numFmt numFmtId="167" formatCode="0.0;\-0.0;0.0"/>
    <numFmt numFmtId="168" formatCode="0"/>
    <numFmt numFmtId="169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22222"/>
        <bgColor rgb="FF33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Reteach gain vs. comparison change, by cycle (points)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CYCLES!F4</c:f>
              <c:strCache>
                <c:ptCount val="1"/>
                <c:pt idx="0">
                  <c:v>Gain (pts)</c:v>
                </c:pt>
              </c:strCache>
            </c:strRef>
          </c:tx>
          <c:spPr>
            <a:solidFill>
              <a:srgbClr val="22222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CYCLES!$A$5:$A$18</c:f>
              <c:strCache>
                <c:ptCount val="14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</c:strCache>
            </c:strRef>
          </c:cat>
          <c:val>
            <c:numRef>
              <c:f>CYCLES!$F$5:$F$18</c:f>
              <c:numCache>
                <c:formatCode>0.0;\-0.0;0.0</c:formatCode>
                <c:ptCount val="14"/>
                <c:pt idx="0">
                  <c:v>24.4444444444444</c:v>
                </c:pt>
                <c:pt idx="1">
                  <c:v>22.4806201550388</c:v>
                </c:pt>
                <c:pt idx="2">
                  <c:v>17.9365079365079</c:v>
                </c:pt>
                <c:pt idx="3">
                  <c:v>14.3703703703704</c:v>
                </c:pt>
                <c:pt idx="4">
                  <c:v>12.8787878787879</c:v>
                </c:pt>
                <c:pt idx="5">
                  <c:v>29.8333333333333</c:v>
                </c:pt>
              </c:numCache>
            </c:numRef>
          </c:val>
        </c:ser>
        <c:ser>
          <c:idx val="1"/>
          <c:order val="1"/>
          <c:tx>
            <c:strRef>
              <c:f>CYCLES!K4</c:f>
              <c:strCache>
                <c:ptCount val="1"/>
                <c:pt idx="0">
                  <c:v>Comparison change (pts)</c:v>
                </c:pt>
              </c:strCache>
            </c:strRef>
          </c:tx>
          <c:spPr>
            <a:solidFill>
              <a:srgbClr val="bbbbb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CYCLES!$A$5:$A$18</c:f>
              <c:strCache>
                <c:ptCount val="14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</c:strCache>
            </c:strRef>
          </c:cat>
          <c:val>
            <c:numRef>
              <c:f>CYCLES!$K$5:$K$18</c:f>
              <c:numCache>
                <c:formatCode>0.0;\-0.0;0.0</c:formatCode>
                <c:ptCount val="14"/>
                <c:pt idx="1">
                  <c:v>4.99999999999999</c:v>
                </c:pt>
                <c:pt idx="2">
                  <c:v>-1.25</c:v>
                </c:pt>
                <c:pt idx="3">
                  <c:v>7.55555555555556</c:v>
                </c:pt>
                <c:pt idx="4">
                  <c:v>-5.53191489361702</c:v>
                </c:pt>
                <c:pt idx="5">
                  <c:v>-18.0952380952381</c:v>
                </c:pt>
              </c:numCache>
            </c:numRef>
          </c:val>
        </c:ser>
        <c:gapWidth val="150"/>
        <c:overlap val="0"/>
        <c:axId val="81914730"/>
        <c:axId val="39893669"/>
      </c:barChart>
      <c:catAx>
        <c:axId val="819147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Cycle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893669"/>
        <c:crosses val="autoZero"/>
        <c:auto val="1"/>
        <c:lblAlgn val="ctr"/>
        <c:lblOffset val="100"/>
        <c:noMultiLvlLbl val="0"/>
      </c:catAx>
      <c:valAx>
        <c:axId val="398936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Change in % correct (pts)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;\-0.0;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147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65</xdr:row>
      <xdr:rowOff>0</xdr:rowOff>
    </xdr:from>
    <xdr:to>
      <xdr:col>14</xdr:col>
      <xdr:colOff>95760</xdr:colOff>
      <xdr:row>82</xdr:row>
      <xdr:rowOff>1080</xdr:rowOff>
    </xdr:to>
    <xdr:graphicFrame>
      <xdr:nvGraphicFramePr>
        <xdr:cNvPr id="0" name="Chart 1"/>
        <xdr:cNvGraphicFramePr/>
      </xdr:nvGraphicFramePr>
      <xdr:xfrm>
        <a:off x="4158720" y="125730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20"/>
    <col collapsed="false" customWidth="true" hidden="false" outlineLevel="0" max="7" min="7" style="0" width="40"/>
  </cols>
  <sheetData>
    <row r="1" customFormat="false" ht="30" hidden="false" customHeight="tru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</row>
    <row r="2" customFormat="false" ht="15" hidden="false" customHeight="false" outlineLevel="0" collapsed="false">
      <c r="A2" s="5" t="s">
        <v>19</v>
      </c>
      <c r="B2" s="6" t="n">
        <v>46324</v>
      </c>
      <c r="C2" s="5" t="s">
        <v>20</v>
      </c>
      <c r="D2" s="5" t="s">
        <v>21</v>
      </c>
      <c r="E2" s="5" t="s">
        <v>22</v>
      </c>
      <c r="F2" s="5"/>
      <c r="G2" s="7"/>
    </row>
    <row r="3" customFormat="false" ht="15" hidden="false" customHeight="false" outlineLevel="0" collapsed="false">
      <c r="A3" s="8" t="s">
        <v>23</v>
      </c>
      <c r="B3" s="9" t="n">
        <v>46331</v>
      </c>
      <c r="C3" s="8" t="s">
        <v>24</v>
      </c>
      <c r="D3" s="8" t="s">
        <v>21</v>
      </c>
      <c r="E3" s="8" t="s">
        <v>22</v>
      </c>
      <c r="F3" s="8" t="s">
        <v>19</v>
      </c>
      <c r="G3" s="10"/>
    </row>
    <row r="4" customFormat="false" ht="15" hidden="false" customHeight="false" outlineLevel="0" collapsed="false">
      <c r="A4" s="5" t="s">
        <v>25</v>
      </c>
      <c r="B4" s="6" t="n">
        <v>46338</v>
      </c>
      <c r="C4" s="5" t="s">
        <v>26</v>
      </c>
      <c r="D4" s="5" t="s">
        <v>21</v>
      </c>
      <c r="E4" s="5" t="s">
        <v>22</v>
      </c>
      <c r="F4" s="5" t="s">
        <v>23</v>
      </c>
      <c r="G4" s="7"/>
    </row>
    <row r="5" customFormat="false" ht="15" hidden="false" customHeight="false" outlineLevel="0" collapsed="false">
      <c r="A5" s="8" t="s">
        <v>27</v>
      </c>
      <c r="B5" s="9" t="n">
        <v>46345</v>
      </c>
      <c r="C5" s="8" t="s">
        <v>28</v>
      </c>
      <c r="D5" s="8" t="s">
        <v>21</v>
      </c>
      <c r="E5" s="8" t="s">
        <v>22</v>
      </c>
      <c r="F5" s="8" t="s">
        <v>25</v>
      </c>
      <c r="G5" s="10"/>
    </row>
    <row r="6" customFormat="false" ht="15" hidden="false" customHeight="false" outlineLevel="0" collapsed="false">
      <c r="A6" s="5" t="s">
        <v>29</v>
      </c>
      <c r="B6" s="6" t="n">
        <v>46352</v>
      </c>
      <c r="C6" s="5" t="s">
        <v>30</v>
      </c>
      <c r="D6" s="5" t="s">
        <v>21</v>
      </c>
      <c r="E6" s="5" t="s">
        <v>22</v>
      </c>
      <c r="F6" s="5" t="s">
        <v>27</v>
      </c>
      <c r="G6" s="7"/>
    </row>
    <row r="7" customFormat="false" ht="15" hidden="false" customHeight="false" outlineLevel="0" collapsed="false">
      <c r="A7" s="8" t="s">
        <v>31</v>
      </c>
      <c r="B7" s="9" t="n">
        <v>46359</v>
      </c>
      <c r="C7" s="8" t="s">
        <v>32</v>
      </c>
      <c r="D7" s="8" t="s">
        <v>21</v>
      </c>
      <c r="E7" s="8" t="s">
        <v>22</v>
      </c>
      <c r="F7" s="8" t="s">
        <v>29</v>
      </c>
      <c r="G7" s="10"/>
    </row>
    <row r="8" customFormat="false" ht="15" hidden="false" customHeight="false" outlineLevel="0" collapsed="false">
      <c r="A8" s="5" t="s">
        <v>33</v>
      </c>
      <c r="B8" s="6" t="n">
        <v>46366</v>
      </c>
      <c r="C8" s="5" t="s">
        <v>34</v>
      </c>
      <c r="D8" s="5" t="s">
        <v>21</v>
      </c>
      <c r="E8" s="5"/>
      <c r="F8" s="5"/>
      <c r="G8" s="7" t="s">
        <v>35</v>
      </c>
    </row>
    <row r="9" customFormat="false" ht="15" hidden="false" customHeight="false" outlineLevel="0" collapsed="false">
      <c r="A9" s="8" t="s">
        <v>36</v>
      </c>
      <c r="B9" s="9" t="n">
        <v>46373</v>
      </c>
      <c r="C9" s="8" t="s">
        <v>37</v>
      </c>
      <c r="D9" s="8" t="s">
        <v>21</v>
      </c>
      <c r="E9" s="8"/>
      <c r="F9" s="8"/>
      <c r="G9" s="1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4" min="13" style="0" width="13"/>
    <col collapsed="false" customWidth="true" hidden="false" outlineLevel="0" max="17" min="15" style="0" width="11"/>
  </cols>
  <sheetData>
    <row r="1" customFormat="false" ht="15" hidden="false" customHeight="false" outlineLevel="0" collapsed="false">
      <c r="A1" s="11" t="s">
        <v>38</v>
      </c>
    </row>
    <row r="2" customFormat="false" ht="15" hidden="false" customHeight="false" outlineLevel="0" collapsed="false">
      <c r="A2" s="3" t="s">
        <v>39</v>
      </c>
    </row>
    <row r="4" customFormat="false" ht="30" hidden="false" customHeight="true" outlineLevel="0" collapsed="false">
      <c r="A4" s="4" t="s">
        <v>12</v>
      </c>
      <c r="B4" s="4" t="s">
        <v>14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46</v>
      </c>
      <c r="J4" s="4" t="s">
        <v>47</v>
      </c>
      <c r="K4" s="4" t="s">
        <v>48</v>
      </c>
      <c r="L4" s="4" t="s">
        <v>49</v>
      </c>
      <c r="M4" s="4" t="s">
        <v>50</v>
      </c>
      <c r="N4" s="4" t="s">
        <v>51</v>
      </c>
      <c r="O4" s="4" t="s">
        <v>52</v>
      </c>
      <c r="P4" s="4" t="s">
        <v>53</v>
      </c>
      <c r="Q4" s="4" t="s">
        <v>54</v>
      </c>
    </row>
    <row r="5" customFormat="false" ht="15" hidden="false" customHeight="false" outlineLevel="0" collapsed="false">
      <c r="A5" s="7" t="str">
        <f aca="false" t="array" ref="A5:A5">IFERROR(INDEX(CHECKS!$A$2:$A$2000,SMALL(IF(CHECKS!$E$2:$E$2000="y",ROW(CHECKS!$E$2:$E$2000)-1),1)),"")</f>
        <v>W01</v>
      </c>
      <c r="B5" s="7" t="str">
        <f aca="false">IF(A5="","",INDEX(CHECKS!$C$2:$C$2000,MATCH(A5,CHECKS!$A$2:$A$2000,0)))</f>
        <v>MA.7.NSO.2.1</v>
      </c>
      <c r="C5" s="7" t="n">
        <f aca="false">IF(A5="","",SUMIFS(RECHECKS!$G$2:$G$2000,RECHECKS!$C$2:$C$2000,A5))</f>
        <v>42</v>
      </c>
      <c r="D5" s="12" t="n">
        <f aca="false">IF(OR(A5="",C5=0),"",SUMIFS(RECHECKS!$F$2:$F$2000,RECHECKS!$C$2:$C$2000,A5,RECHECKS!$G$2:$G$2000,1)/(5*C5))</f>
        <v>0.580952380952381</v>
      </c>
      <c r="E5" s="12" t="n">
        <f aca="false">IF(OR(A5="",C5=0),"",SUMIFS(RECHECKS!$D$2:$D$2000,RECHECKS!$C$2:$C$2000,A5,RECHECKS!$G$2:$G$2000,1)/(3*C5))</f>
        <v>0.825396825396825</v>
      </c>
      <c r="F5" s="13" t="n">
        <f aca="false">IF(D5="","",(E5-D5)*100)</f>
        <v>24.4444444444444</v>
      </c>
      <c r="G5" s="7" t="str">
        <f aca="false">IF(A5="","",INDEX(CHECKS!$F$2:$F$2000,MATCH(A5,CHECKS!$A$2:$A$2000,0))&amp;"")</f>
        <v/>
      </c>
      <c r="H5" s="7" t="str">
        <f aca="false">IF(OR(A5="",G5=""),"",SUMIFS(RECHECKS!$J$2:$J$2000,RECHECKS!$C$2:$C$2000,A5))</f>
        <v/>
      </c>
      <c r="I5" s="12" t="str">
        <f aca="false">IF(OR(H5="",H5=0),"",SUMIFS(RECHECKS!$I$2:$I$2000,RECHECKS!$C$2:$C$2000,A5,RECHECKS!$J$2:$J$2000,1)/(5*H5))</f>
        <v/>
      </c>
      <c r="J5" s="12" t="str">
        <f aca="false">IF(OR(H5="",H5=0),"",SUMIFS(RECHECKS!$E$2:$E$2000,RECHECKS!$C$2:$C$2000,A5,RECHECKS!$J$2:$J$2000,1)/(2*H5))</f>
        <v/>
      </c>
      <c r="K5" s="13" t="str">
        <f aca="false">IF(I5="","",(J5-I5)*100)</f>
        <v/>
      </c>
      <c r="L5" s="13" t="n">
        <f aca="false">IF(F5="","",IF(K5="",F5,F5-K5))</f>
        <v>24.4444444444444</v>
      </c>
      <c r="M5" s="13" t="n">
        <f aca="false">IF(A5="","",(SUMIFS(SCORES!$D$2:$D$2000,SCORES!$C$2:$C$2000,A5)/(5*COUNTIFS(SCORES!$C$2:$C$2000,A5,SCORES!$D$2:$D$2000,"&gt;=0"))-SUMIFS(SCORES!$D$2:$D$2000,SCORES!$D$2:$D$2000,"&gt;=0")/(5*COUNTIFS(SCORES!$D$2:$D$2000,"&gt;=0")))*100)</f>
        <v>2.06793206793207</v>
      </c>
      <c r="N5" s="13" t="n">
        <f aca="false">IF(B5="","",IFERROR(INDEX(UNITS!$E$2:$E$2000,MATCH(B5,UNITS!$A$2:$A$2000,0)),""))</f>
        <v>-3</v>
      </c>
      <c r="O5" s="12" t="n">
        <f aca="false">IF(A5="","",IFERROR(COUNTIFS(SCORES!$C$2:$C$2000,A5,SCORES!$B$2:$B$2000,"C",SCORES!$D$2:$D$2000,"&gt;=4")/COUNTIFS(SCORES!$C$2:$C$2000,A5,SCORES!$B$2:$B$2000,"C",SCORES!$D$2:$D$2000,"&gt;=0"),""))</f>
        <v>0.380952380952381</v>
      </c>
      <c r="P5" s="12" t="n">
        <f aca="false">IF(A5="","",IFERROR(COUNTIFS(SCORES!$C$2:$C$2000,A5,SCORES!$B$2:$B$2000,"J",SCORES!$D$2:$D$2000,"&gt;=4")/COUNTIFS(SCORES!$C$2:$C$2000,A5,SCORES!$B$2:$B$2000,"J",SCORES!$D$2:$D$2000,"&gt;=0"),""))</f>
        <v>0.347826086956522</v>
      </c>
      <c r="Q5" s="13" t="n">
        <f aca="false">IF(OR(O5="",P5=""),"",(O5-P5)*100)</f>
        <v>3.31262939958592</v>
      </c>
    </row>
    <row r="6" customFormat="false" ht="15" hidden="false" customHeight="false" outlineLevel="0" collapsed="false">
      <c r="A6" s="10" t="str">
        <f aca="false" t="array" ref="A6:A6">IFERROR(INDEX(CHECKS!$A$2:$A$2000,SMALL(IF(CHECKS!$E$2:$E$2000="y",ROW(CHECKS!$E$2:$E$2000)-1),2)),"")</f>
        <v>W02</v>
      </c>
      <c r="B6" s="10" t="str">
        <f aca="false">IF(A6="","",INDEX(CHECKS!$C$2:$C$2000,MATCH(A6,CHECKS!$A$2:$A$2000,0)))</f>
        <v>MA.7.AR.1.1</v>
      </c>
      <c r="C6" s="10" t="n">
        <f aca="false">IF(A6="","",SUMIFS(RECHECKS!$G$2:$G$2000,RECHECKS!$C$2:$C$2000,A6))</f>
        <v>43</v>
      </c>
      <c r="D6" s="14" t="n">
        <f aca="false">IF(OR(A6="",C6=0),"",SUMIFS(RECHECKS!$F$2:$F$2000,RECHECKS!$C$2:$C$2000,A6,RECHECKS!$G$2:$G$2000,1)/(5*C6))</f>
        <v>0.511627906976744</v>
      </c>
      <c r="E6" s="14" t="n">
        <f aca="false">IF(OR(A6="",C6=0),"",SUMIFS(RECHECKS!$D$2:$D$2000,RECHECKS!$C$2:$C$2000,A6,RECHECKS!$G$2:$G$2000,1)/(3*C6))</f>
        <v>0.736434108527132</v>
      </c>
      <c r="F6" s="15" t="n">
        <f aca="false">IF(D6="","",(E6-D6)*100)</f>
        <v>22.4806201550388</v>
      </c>
      <c r="G6" s="10" t="str">
        <f aca="false">IF(A6="","",INDEX(CHECKS!$F$2:$F$2000,MATCH(A6,CHECKS!$A$2:$A$2000,0))&amp;"")</f>
        <v>W01</v>
      </c>
      <c r="H6" s="10" t="n">
        <f aca="false">IF(OR(A6="",G6=""),"",SUMIFS(RECHECKS!$J$2:$J$2000,RECHECKS!$C$2:$C$2000,A6))</f>
        <v>42</v>
      </c>
      <c r="I6" s="14" t="n">
        <f aca="false">IF(OR(H6="",H6=0),"",SUMIFS(RECHECKS!$I$2:$I$2000,RECHECKS!$C$2:$C$2000,A6,RECHECKS!$J$2:$J$2000,1)/(5*H6))</f>
        <v>0.557142857142857</v>
      </c>
      <c r="J6" s="14" t="n">
        <f aca="false">IF(OR(H6="",H6=0),"",SUMIFS(RECHECKS!$E$2:$E$2000,RECHECKS!$C$2:$C$2000,A6,RECHECKS!$J$2:$J$2000,1)/(2*H6))</f>
        <v>0.607142857142857</v>
      </c>
      <c r="K6" s="15" t="n">
        <f aca="false">IF(I6="","",(J6-I6)*100)</f>
        <v>4.99999999999999</v>
      </c>
      <c r="L6" s="15" t="n">
        <f aca="false">IF(F6="","",IF(K6="",F6,F6-K6))</f>
        <v>17.4806201550388</v>
      </c>
      <c r="M6" s="15" t="n">
        <f aca="false">IF(A6="","",(SUMIFS(SCORES!$D$2:$D$2000,SCORES!$C$2:$C$2000,A6)/(5*COUNTIFS(SCORES!$C$2:$C$2000,A6,SCORES!$D$2:$D$2000,"&gt;=0"))-SUMIFS(SCORES!$D$2:$D$2000,SCORES!$D$2:$D$2000,"&gt;=0")/(5*COUNTIFS(SCORES!$D$2:$D$2000,"&gt;=0")))*100)</f>
        <v>-2.77045177045178</v>
      </c>
      <c r="N6" s="15" t="n">
        <f aca="false">IF(B6="","",IFERROR(INDEX(UNITS!$E$2:$E$2000,MATCH(B6,UNITS!$A$2:$A$2000,0)),""))</f>
        <v>-8</v>
      </c>
      <c r="O6" s="14" t="n">
        <f aca="false">IF(A6="","",IFERROR(COUNTIFS(SCORES!$C$2:$C$2000,A6,SCORES!$B$2:$B$2000,"C",SCORES!$D$2:$D$2000,"&gt;=4")/COUNTIFS(SCORES!$C$2:$C$2000,A6,SCORES!$B$2:$B$2000,"C",SCORES!$D$2:$D$2000,"&gt;=0"),""))</f>
        <v>0.318181818181818</v>
      </c>
      <c r="P6" s="14" t="n">
        <f aca="false">IF(A6="","",IFERROR(COUNTIFS(SCORES!$C$2:$C$2000,A6,SCORES!$B$2:$B$2000,"J",SCORES!$D$2:$D$2000,"&gt;=4")/COUNTIFS(SCORES!$C$2:$C$2000,A6,SCORES!$B$2:$B$2000,"J",SCORES!$D$2:$D$2000,"&gt;=0"),""))</f>
        <v>0.304347826086957</v>
      </c>
      <c r="Q6" s="15" t="n">
        <f aca="false">IF(OR(O6="",P6=""),"",(O6-P6)*100)</f>
        <v>1.38339920948616</v>
      </c>
    </row>
    <row r="7" customFormat="false" ht="15" hidden="false" customHeight="false" outlineLevel="0" collapsed="false">
      <c r="A7" s="7" t="str">
        <f aca="false" t="array" ref="A7:A7">IFERROR(INDEX(CHECKS!$A$2:$A$2000,SMALL(IF(CHECKS!$E$2:$E$2000="y",ROW(CHECKS!$E$2:$E$2000)-1),3)),"")</f>
        <v>W03</v>
      </c>
      <c r="B7" s="7" t="str">
        <f aca="false">IF(A7="","",INDEX(CHECKS!$C$2:$C$2000,MATCH(A7,CHECKS!$A$2:$A$2000,0)))</f>
        <v>MA.7.AR.1.2</v>
      </c>
      <c r="C7" s="7" t="n">
        <f aca="false">IF(A7="","",SUMIFS(RECHECKS!$G$2:$G$2000,RECHECKS!$C$2:$C$2000,A7))</f>
        <v>42</v>
      </c>
      <c r="D7" s="12" t="n">
        <f aca="false">IF(OR(A7="",C7=0),"",SUMIFS(RECHECKS!$F$2:$F$2000,RECHECKS!$C$2:$C$2000,A7,RECHECKS!$G$2:$G$2000,1)/(5*C7))</f>
        <v>0.661904761904762</v>
      </c>
      <c r="E7" s="12" t="n">
        <f aca="false">IF(OR(A7="",C7=0),"",SUMIFS(RECHECKS!$D$2:$D$2000,RECHECKS!$C$2:$C$2000,A7,RECHECKS!$G$2:$G$2000,1)/(3*C7))</f>
        <v>0.841269841269841</v>
      </c>
      <c r="F7" s="13" t="n">
        <f aca="false">IF(D7="","",(E7-D7)*100)</f>
        <v>17.9365079365079</v>
      </c>
      <c r="G7" s="7" t="str">
        <f aca="false">IF(A7="","",INDEX(CHECKS!$F$2:$F$2000,MATCH(A7,CHECKS!$A$2:$A$2000,0))&amp;"")</f>
        <v>W02</v>
      </c>
      <c r="H7" s="7" t="n">
        <f aca="false">IF(OR(A7="",G7=""),"",SUMIFS(RECHECKS!$J$2:$J$2000,RECHECKS!$C$2:$C$2000,A7))</f>
        <v>40</v>
      </c>
      <c r="I7" s="12" t="n">
        <f aca="false">IF(OR(H7="",H7=0),"",SUMIFS(RECHECKS!$I$2:$I$2000,RECHECKS!$C$2:$C$2000,A7,RECHECKS!$J$2:$J$2000,1)/(5*H7))</f>
        <v>0.5</v>
      </c>
      <c r="J7" s="12" t="n">
        <f aca="false">IF(OR(H7="",H7=0),"",SUMIFS(RECHECKS!$E$2:$E$2000,RECHECKS!$C$2:$C$2000,A7,RECHECKS!$J$2:$J$2000,1)/(2*H7))</f>
        <v>0.4875</v>
      </c>
      <c r="K7" s="13" t="n">
        <f aca="false">IF(I7="","",(J7-I7)*100)</f>
        <v>-1.25</v>
      </c>
      <c r="L7" s="13" t="n">
        <f aca="false">IF(F7="","",IF(K7="",F7,F7-K7))</f>
        <v>19.1865079365079</v>
      </c>
      <c r="M7" s="13" t="n">
        <f aca="false">IF(A7="","",(SUMIFS(SCORES!$D$2:$D$2000,SCORES!$C$2:$C$2000,A7)/(5*COUNTIFS(SCORES!$C$2:$C$2000,A7,SCORES!$D$2:$D$2000,"&gt;=0"))-SUMIFS(SCORES!$D$2:$D$2000,SCORES!$D$2:$D$2000,"&gt;=0")/(5*COUNTIFS(SCORES!$D$2:$D$2000,"&gt;=0")))*100)</f>
        <v>7.67399267399267</v>
      </c>
      <c r="N7" s="13" t="n">
        <f aca="false">IF(B7="","",IFERROR(INDEX(UNITS!$E$2:$E$2000,MATCH(B7,UNITS!$A$2:$A$2000,0)),""))</f>
        <v>-3</v>
      </c>
      <c r="O7" s="12" t="n">
        <f aca="false">IF(A7="","",IFERROR(COUNTIFS(SCORES!$C$2:$C$2000,A7,SCORES!$B$2:$B$2000,"C",SCORES!$D$2:$D$2000,"&gt;=4")/COUNTIFS(SCORES!$C$2:$C$2000,A7,SCORES!$B$2:$B$2000,"C",SCORES!$D$2:$D$2000,"&gt;=0"),""))</f>
        <v>0.416666666666667</v>
      </c>
      <c r="P7" s="12" t="n">
        <f aca="false">IF(A7="","",IFERROR(COUNTIFS(SCORES!$C$2:$C$2000,A7,SCORES!$B$2:$B$2000,"J",SCORES!$D$2:$D$2000,"&gt;=4")/COUNTIFS(SCORES!$C$2:$C$2000,A7,SCORES!$B$2:$B$2000,"J",SCORES!$D$2:$D$2000,"&gt;=0"),""))</f>
        <v>0.375</v>
      </c>
      <c r="Q7" s="13" t="n">
        <f aca="false">IF(OR(O7="",P7=""),"",(O7-P7)*100)</f>
        <v>4.16666666666667</v>
      </c>
    </row>
    <row r="8" customFormat="false" ht="15" hidden="false" customHeight="false" outlineLevel="0" collapsed="false">
      <c r="A8" s="10" t="str">
        <f aca="false" t="array" ref="A8:A8">IFERROR(INDEX(CHECKS!$A$2:$A$2000,SMALL(IF(CHECKS!$E$2:$E$2000="y",ROW(CHECKS!$E$2:$E$2000)-1),4)),"")</f>
        <v>W04</v>
      </c>
      <c r="B8" s="10" t="str">
        <f aca="false">IF(A8="","",INDEX(CHECKS!$C$2:$C$2000,MATCH(A8,CHECKS!$A$2:$A$2000,0)))</f>
        <v>MA.7.AR.2.1</v>
      </c>
      <c r="C8" s="10" t="n">
        <f aca="false">IF(A8="","",SUMIFS(RECHECKS!$G$2:$G$2000,RECHECKS!$C$2:$C$2000,A8))</f>
        <v>45</v>
      </c>
      <c r="D8" s="14" t="n">
        <f aca="false">IF(OR(A8="",C8=0),"",SUMIFS(RECHECKS!$F$2:$F$2000,RECHECKS!$C$2:$C$2000,A8,RECHECKS!$G$2:$G$2000,1)/(5*C8))</f>
        <v>0.471111111111111</v>
      </c>
      <c r="E8" s="14" t="n">
        <f aca="false">IF(OR(A8="",C8=0),"",SUMIFS(RECHECKS!$D$2:$D$2000,RECHECKS!$C$2:$C$2000,A8,RECHECKS!$G$2:$G$2000,1)/(3*C8))</f>
        <v>0.614814814814815</v>
      </c>
      <c r="F8" s="15" t="n">
        <f aca="false">IF(D8="","",(E8-D8)*100)</f>
        <v>14.3703703703704</v>
      </c>
      <c r="G8" s="10" t="str">
        <f aca="false">IF(A8="","",INDEX(CHECKS!$F$2:$F$2000,MATCH(A8,CHECKS!$A$2:$A$2000,0))&amp;"")</f>
        <v>W03</v>
      </c>
      <c r="H8" s="10" t="n">
        <f aca="false">IF(OR(A8="",G8=""),"",SUMIFS(RECHECKS!$J$2:$J$2000,RECHECKS!$C$2:$C$2000,A8))</f>
        <v>45</v>
      </c>
      <c r="I8" s="14" t="n">
        <f aca="false">IF(OR(H8="",H8=0),"",SUMIFS(RECHECKS!$I$2:$I$2000,RECHECKS!$C$2:$C$2000,A8,RECHECKS!$J$2:$J$2000,1)/(5*H8))</f>
        <v>0.635555555555556</v>
      </c>
      <c r="J8" s="14" t="n">
        <f aca="false">IF(OR(H8="",H8=0),"",SUMIFS(RECHECKS!$E$2:$E$2000,RECHECKS!$C$2:$C$2000,A8,RECHECKS!$J$2:$J$2000,1)/(2*H8))</f>
        <v>0.711111111111111</v>
      </c>
      <c r="K8" s="15" t="n">
        <f aca="false">IF(I8="","",(J8-I8)*100)</f>
        <v>7.55555555555556</v>
      </c>
      <c r="L8" s="15" t="n">
        <f aca="false">IF(F8="","",IF(K8="",F8,F8-K8))</f>
        <v>6.81481481481481</v>
      </c>
      <c r="M8" s="15" t="n">
        <f aca="false">IF(A8="","",(SUMIFS(SCORES!$D$2:$D$2000,SCORES!$C$2:$C$2000,A8)/(5*COUNTIFS(SCORES!$C$2:$C$2000,A8,SCORES!$D$2:$D$2000,"&gt;=0"))-SUMIFS(SCORES!$D$2:$D$2000,SCORES!$D$2:$D$2000,"&gt;=0")/(5*COUNTIFS(SCORES!$D$2:$D$2000,"&gt;=0")))*100)</f>
        <v>-7.32600732600733</v>
      </c>
      <c r="N8" s="15" t="n">
        <f aca="false">IF(B8="","",IFERROR(INDEX(UNITS!$E$2:$E$2000,MATCH(B8,UNITS!$A$2:$A$2000,0)),""))</f>
        <v>-10</v>
      </c>
      <c r="O8" s="14" t="n">
        <f aca="false">IF(A8="","",IFERROR(COUNTIFS(SCORES!$C$2:$C$2000,A8,SCORES!$B$2:$B$2000,"C",SCORES!$D$2:$D$2000,"&gt;=4")/COUNTIFS(SCORES!$C$2:$C$2000,A8,SCORES!$B$2:$B$2000,"C",SCORES!$D$2:$D$2000,"&gt;=0"),""))</f>
        <v>0.173913043478261</v>
      </c>
      <c r="P8" s="14" t="n">
        <f aca="false">IF(A8="","",IFERROR(COUNTIFS(SCORES!$C$2:$C$2000,A8,SCORES!$B$2:$B$2000,"J",SCORES!$D$2:$D$2000,"&gt;=4")/COUNTIFS(SCORES!$C$2:$C$2000,A8,SCORES!$B$2:$B$2000,"J",SCORES!$D$2:$D$2000,"&gt;=0"),""))</f>
        <v>0.16</v>
      </c>
      <c r="Q8" s="15" t="n">
        <f aca="false">IF(OR(O8="",P8=""),"",(O8-P8)*100)</f>
        <v>1.39130434782609</v>
      </c>
    </row>
    <row r="9" customFormat="false" ht="15" hidden="false" customHeight="false" outlineLevel="0" collapsed="false">
      <c r="A9" s="7" t="str">
        <f aca="false" t="array" ref="A9:A9">IFERROR(INDEX(CHECKS!$A$2:$A$2000,SMALL(IF(CHECKS!$E$2:$E$2000="y",ROW(CHECKS!$E$2:$E$2000)-1),5)),"")</f>
        <v>W05</v>
      </c>
      <c r="B9" s="7" t="str">
        <f aca="false">IF(A9="","",INDEX(CHECKS!$C$2:$C$2000,MATCH(A9,CHECKS!$A$2:$A$2000,0)))</f>
        <v>MA.7.AR.3.1</v>
      </c>
      <c r="C9" s="7" t="n">
        <f aca="false">IF(A9="","",SUMIFS(RECHECKS!$G$2:$G$2000,RECHECKS!$C$2:$C$2000,A9))</f>
        <v>44</v>
      </c>
      <c r="D9" s="12" t="n">
        <f aca="false">IF(OR(A9="",C9=0),"",SUMIFS(RECHECKS!$F$2:$F$2000,RECHECKS!$C$2:$C$2000,A9,RECHECKS!$G$2:$G$2000,1)/(5*C9))</f>
        <v>0.613636363636364</v>
      </c>
      <c r="E9" s="12" t="n">
        <f aca="false">IF(OR(A9="",C9=0),"",SUMIFS(RECHECKS!$D$2:$D$2000,RECHECKS!$C$2:$C$2000,A9,RECHECKS!$G$2:$G$2000,1)/(3*C9))</f>
        <v>0.742424242424242</v>
      </c>
      <c r="F9" s="13" t="n">
        <f aca="false">IF(D9="","",(E9-D9)*100)</f>
        <v>12.8787878787879</v>
      </c>
      <c r="G9" s="7" t="str">
        <f aca="false">IF(A9="","",INDEX(CHECKS!$F$2:$F$2000,MATCH(A9,CHECKS!$A$2:$A$2000,0))&amp;"")</f>
        <v>W04</v>
      </c>
      <c r="H9" s="7" t="n">
        <f aca="false">IF(OR(A9="",G9=""),"",SUMIFS(RECHECKS!$J$2:$J$2000,RECHECKS!$C$2:$C$2000,A9))</f>
        <v>47</v>
      </c>
      <c r="I9" s="12" t="n">
        <f aca="false">IF(OR(H9="",H9=0),"",SUMIFS(RECHECKS!$I$2:$I$2000,RECHECKS!$C$2:$C$2000,A9,RECHECKS!$J$2:$J$2000,1)/(5*H9))</f>
        <v>0.480851063829787</v>
      </c>
      <c r="J9" s="12" t="n">
        <f aca="false">IF(OR(H9="",H9=0),"",SUMIFS(RECHECKS!$E$2:$E$2000,RECHECKS!$C$2:$C$2000,A9,RECHECKS!$J$2:$J$2000,1)/(2*H9))</f>
        <v>0.425531914893617</v>
      </c>
      <c r="K9" s="13" t="n">
        <f aca="false">IF(I9="","",(J9-I9)*100)</f>
        <v>-5.53191489361702</v>
      </c>
      <c r="L9" s="13" t="n">
        <f aca="false">IF(F9="","",IF(K9="",F9,F9-K9))</f>
        <v>18.4107027724049</v>
      </c>
      <c r="M9" s="13" t="n">
        <f aca="false">IF(A9="","",(SUMIFS(SCORES!$D$2:$D$2000,SCORES!$C$2:$C$2000,A9)/(5*COUNTIFS(SCORES!$C$2:$C$2000,A9,SCORES!$D$2:$D$2000,"&gt;=0"))-SUMIFS(SCORES!$D$2:$D$2000,SCORES!$D$2:$D$2000,"&gt;=0")/(5*COUNTIFS(SCORES!$D$2:$D$2000,"&gt;=0")))*100)</f>
        <v>5.6450071667463</v>
      </c>
      <c r="N9" s="13" t="str">
        <f aca="false">IF(B9="","",IFERROR(INDEX(UNITS!$E$2:$E$2000,MATCH(B9,UNITS!$A$2:$A$2000,0)),""))</f>
        <v/>
      </c>
      <c r="O9" s="12" t="n">
        <f aca="false">IF(A9="","",IFERROR(COUNTIFS(SCORES!$C$2:$C$2000,A9,SCORES!$B$2:$B$2000,"C",SCORES!$D$2:$D$2000,"&gt;=4")/COUNTIFS(SCORES!$C$2:$C$2000,A9,SCORES!$B$2:$B$2000,"C",SCORES!$D$2:$D$2000,"&gt;=0"),""))</f>
        <v>0.391304347826087</v>
      </c>
      <c r="P9" s="12" t="n">
        <f aca="false">IF(A9="","",IFERROR(COUNTIFS(SCORES!$C$2:$C$2000,A9,SCORES!$B$2:$B$2000,"J",SCORES!$D$2:$D$2000,"&gt;=4")/COUNTIFS(SCORES!$C$2:$C$2000,A9,SCORES!$B$2:$B$2000,"J",SCORES!$D$2:$D$2000,"&gt;=0"),""))</f>
        <v>0.304347826086957</v>
      </c>
      <c r="Q9" s="13" t="n">
        <f aca="false">IF(OR(O9="",P9=""),"",(O9-P9)*100)</f>
        <v>8.69565217391304</v>
      </c>
    </row>
    <row r="10" customFormat="false" ht="15" hidden="false" customHeight="false" outlineLevel="0" collapsed="false">
      <c r="A10" s="10" t="str">
        <f aca="false" t="array" ref="A10:A10">IFERROR(INDEX(CHECKS!$A$2:$A$2000,SMALL(IF(CHECKS!$E$2:$E$2000="y",ROW(CHECKS!$E$2:$E$2000)-1),6)),"")</f>
        <v>W06</v>
      </c>
      <c r="B10" s="10" t="str">
        <f aca="false">IF(A10="","",INDEX(CHECKS!$C$2:$C$2000,MATCH(A10,CHECKS!$A$2:$A$2000,0)))</f>
        <v>MA.7.AR.3.2</v>
      </c>
      <c r="C10" s="10" t="n">
        <f aca="false">IF(A10="","",SUMIFS(RECHECKS!$G$2:$G$2000,RECHECKS!$C$2:$C$2000,A10))</f>
        <v>40</v>
      </c>
      <c r="D10" s="14" t="n">
        <f aca="false">IF(OR(A10="",C10=0),"",SUMIFS(RECHECKS!$F$2:$F$2000,RECHECKS!$C$2:$C$2000,A10,RECHECKS!$G$2:$G$2000,1)/(5*C10))</f>
        <v>0.51</v>
      </c>
      <c r="E10" s="14" t="n">
        <f aca="false">IF(OR(A10="",C10=0),"",SUMIFS(RECHECKS!$D$2:$D$2000,RECHECKS!$C$2:$C$2000,A10,RECHECKS!$G$2:$G$2000,1)/(3*C10))</f>
        <v>0.808333333333333</v>
      </c>
      <c r="F10" s="15" t="n">
        <f aca="false">IF(D10="","",(E10-D10)*100)</f>
        <v>29.8333333333333</v>
      </c>
      <c r="G10" s="10" t="str">
        <f aca="false">IF(A10="","",INDEX(CHECKS!$F$2:$F$2000,MATCH(A10,CHECKS!$A$2:$A$2000,0))&amp;"")</f>
        <v>W05</v>
      </c>
      <c r="H10" s="10" t="n">
        <f aca="false">IF(OR(A10="",G10=""),"",SUMIFS(RECHECKS!$J$2:$J$2000,RECHECKS!$C$2:$C$2000,A10))</f>
        <v>42</v>
      </c>
      <c r="I10" s="14" t="n">
        <f aca="false">IF(OR(H10="",H10=0),"",SUMIFS(RECHECKS!$I$2:$I$2000,RECHECKS!$C$2:$C$2000,A10,RECHECKS!$J$2:$J$2000,1)/(5*H10))</f>
        <v>0.633333333333333</v>
      </c>
      <c r="J10" s="14" t="n">
        <f aca="false">IF(OR(H10="",H10=0),"",SUMIFS(RECHECKS!$E$2:$E$2000,RECHECKS!$C$2:$C$2000,A10,RECHECKS!$J$2:$J$2000,1)/(2*H10))</f>
        <v>0.452380952380952</v>
      </c>
      <c r="K10" s="15" t="n">
        <f aca="false">IF(I10="","",(J10-I10)*100)</f>
        <v>-18.0952380952381</v>
      </c>
      <c r="L10" s="15" t="n">
        <f aca="false">IF(F10="","",IF(K10="",F10,F10-K10))</f>
        <v>47.9285714285714</v>
      </c>
      <c r="M10" s="15" t="n">
        <f aca="false">IF(A10="","",(SUMIFS(SCORES!$D$2:$D$2000,SCORES!$C$2:$C$2000,A10)/(5*COUNTIFS(SCORES!$C$2:$C$2000,A10,SCORES!$D$2:$D$2000,"&gt;=0"))-SUMIFS(SCORES!$D$2:$D$2000,SCORES!$D$2:$D$2000,"&gt;=0")/(5*COUNTIFS(SCORES!$D$2:$D$2000,"&gt;=0")))*100)</f>
        <v>-7.93206793206793</v>
      </c>
      <c r="N10" s="15" t="str">
        <f aca="false">IF(B10="","",IFERROR(INDEX(UNITS!$E$2:$E$2000,MATCH(B10,UNITS!$A$2:$A$2000,0)),""))</f>
        <v/>
      </c>
      <c r="O10" s="14" t="n">
        <f aca="false">IF(A10="","",IFERROR(COUNTIFS(SCORES!$C$2:$C$2000,A10,SCORES!$B$2:$B$2000,"C",SCORES!$D$2:$D$2000,"&gt;=4")/COUNTIFS(SCORES!$C$2:$C$2000,A10,SCORES!$B$2:$B$2000,"C",SCORES!$D$2:$D$2000,"&gt;=0"),""))</f>
        <v>0.260869565217391</v>
      </c>
      <c r="P10" s="14" t="n">
        <f aca="false">IF(A10="","",IFERROR(COUNTIFS(SCORES!$C$2:$C$2000,A10,SCORES!$B$2:$B$2000,"J",SCORES!$D$2:$D$2000,"&gt;=4")/COUNTIFS(SCORES!$C$2:$C$2000,A10,SCORES!$B$2:$B$2000,"J",SCORES!$D$2:$D$2000,"&gt;=0"),""))</f>
        <v>0.19047619047619</v>
      </c>
      <c r="Q10" s="15" t="n">
        <f aca="false">IF(OR(O10="",P10=""),"",(O10-P10)*100)</f>
        <v>7.03933747412008</v>
      </c>
    </row>
    <row r="11" customFormat="false" ht="15" hidden="false" customHeight="false" outlineLevel="0" collapsed="false">
      <c r="A11" s="7" t="str">
        <f aca="false" t="array" ref="A11:A11">IFERROR(INDEX(CHECKS!$A$2:$A$2000,SMALL(IF(CHECKS!$E$2:$E$2000="y",ROW(CHECKS!$E$2:$E$2000)-1),7)),"")</f>
        <v/>
      </c>
      <c r="B11" s="7" t="str">
        <f aca="false">IF(A11="","",INDEX(CHECKS!$C$2:$C$2000,MATCH(A11,CHECKS!$A$2:$A$2000,0)))</f>
        <v/>
      </c>
      <c r="C11" s="7" t="str">
        <f aca="false">IF(A11="","",SUMIFS(RECHECKS!$G$2:$G$2000,RECHECKS!$C$2:$C$2000,A11))</f>
        <v/>
      </c>
      <c r="D11" s="12" t="str">
        <f aca="false">IF(OR(A11="",C11=0),"",SUMIFS(RECHECKS!$F$2:$F$2000,RECHECKS!$C$2:$C$2000,A11,RECHECKS!$G$2:$G$2000,1)/(5*C11))</f>
        <v/>
      </c>
      <c r="E11" s="12" t="str">
        <f aca="false">IF(OR(A11="",C11=0),"",SUMIFS(RECHECKS!$D$2:$D$2000,RECHECKS!$C$2:$C$2000,A11,RECHECKS!$G$2:$G$2000,1)/(3*C11))</f>
        <v/>
      </c>
      <c r="F11" s="13" t="str">
        <f aca="false">IF(D11="","",(E11-D11)*100)</f>
        <v/>
      </c>
      <c r="G11" s="7" t="str">
        <f aca="false">IF(A11="","",INDEX(CHECKS!$F$2:$F$2000,MATCH(A11,CHECKS!$A$2:$A$2000,0))&amp;"")</f>
        <v/>
      </c>
      <c r="H11" s="7" t="str">
        <f aca="false">IF(OR(A11="",G11=""),"",SUMIFS(RECHECKS!$J$2:$J$2000,RECHECKS!$C$2:$C$2000,A11))</f>
        <v/>
      </c>
      <c r="I11" s="12" t="str">
        <f aca="false">IF(OR(H11="",H11=0),"",SUMIFS(RECHECKS!$I$2:$I$2000,RECHECKS!$C$2:$C$2000,A11,RECHECKS!$J$2:$J$2000,1)/(5*H11))</f>
        <v/>
      </c>
      <c r="J11" s="12" t="str">
        <f aca="false">IF(OR(H11="",H11=0),"",SUMIFS(RECHECKS!$E$2:$E$2000,RECHECKS!$C$2:$C$2000,A11,RECHECKS!$J$2:$J$2000,1)/(2*H11))</f>
        <v/>
      </c>
      <c r="K11" s="13" t="str">
        <f aca="false">IF(I11="","",(J11-I11)*100)</f>
        <v/>
      </c>
      <c r="L11" s="13" t="str">
        <f aca="false">IF(F11="","",IF(K11="",F11,F11-K11))</f>
        <v/>
      </c>
      <c r="M11" s="13" t="str">
        <f aca="false">IF(A11="","",(SUMIFS(SCORES!$D$2:$D$2000,SCORES!$C$2:$C$2000,A11)/(5*COUNTIFS(SCORES!$C$2:$C$2000,A11,SCORES!$D$2:$D$2000,"&gt;=0"))-SUMIFS(SCORES!$D$2:$D$2000,SCORES!$D$2:$D$2000,"&gt;=0")/(5*COUNTIFS(SCORES!$D$2:$D$2000,"&gt;=0")))*100)</f>
        <v/>
      </c>
      <c r="N11" s="13" t="str">
        <f aca="false">IF(B11="","",IFERROR(INDEX(UNITS!$E$2:$E$2000,MATCH(B11,UNITS!$A$2:$A$2000,0)),""))</f>
        <v/>
      </c>
      <c r="O11" s="12" t="str">
        <f aca="false">IF(A11="","",IFERROR(COUNTIFS(SCORES!$C$2:$C$2000,A11,SCORES!$B$2:$B$2000,"C",SCORES!$D$2:$D$2000,"&gt;=4")/COUNTIFS(SCORES!$C$2:$C$2000,A11,SCORES!$B$2:$B$2000,"C",SCORES!$D$2:$D$2000,"&gt;=0"),""))</f>
        <v/>
      </c>
      <c r="P11" s="12" t="str">
        <f aca="false">IF(A11="","",IFERROR(COUNTIFS(SCORES!$C$2:$C$2000,A11,SCORES!$B$2:$B$2000,"J",SCORES!$D$2:$D$2000,"&gt;=4")/COUNTIFS(SCORES!$C$2:$C$2000,A11,SCORES!$B$2:$B$2000,"J",SCORES!$D$2:$D$2000,"&gt;=0"),""))</f>
        <v/>
      </c>
      <c r="Q11" s="13" t="str">
        <f aca="false">IF(OR(O11="",P11=""),"",(O11-P11)*100)</f>
        <v/>
      </c>
    </row>
    <row r="12" customFormat="false" ht="15" hidden="false" customHeight="false" outlineLevel="0" collapsed="false">
      <c r="A12" s="10" t="str">
        <f aca="false" t="array" ref="A12:A12">IFERROR(INDEX(CHECKS!$A$2:$A$2000,SMALL(IF(CHECKS!$E$2:$E$2000="y",ROW(CHECKS!$E$2:$E$2000)-1),8)),"")</f>
        <v/>
      </c>
      <c r="B12" s="10" t="str">
        <f aca="false">IF(A12="","",INDEX(CHECKS!$C$2:$C$2000,MATCH(A12,CHECKS!$A$2:$A$2000,0)))</f>
        <v/>
      </c>
      <c r="C12" s="10" t="str">
        <f aca="false">IF(A12="","",SUMIFS(RECHECKS!$G$2:$G$2000,RECHECKS!$C$2:$C$2000,A12))</f>
        <v/>
      </c>
      <c r="D12" s="14" t="str">
        <f aca="false">IF(OR(A12="",C12=0),"",SUMIFS(RECHECKS!$F$2:$F$2000,RECHECKS!$C$2:$C$2000,A12,RECHECKS!$G$2:$G$2000,1)/(5*C12))</f>
        <v/>
      </c>
      <c r="E12" s="14" t="str">
        <f aca="false">IF(OR(A12="",C12=0),"",SUMIFS(RECHECKS!$D$2:$D$2000,RECHECKS!$C$2:$C$2000,A12,RECHECKS!$G$2:$G$2000,1)/(3*C12))</f>
        <v/>
      </c>
      <c r="F12" s="15" t="str">
        <f aca="false">IF(D12="","",(E12-D12)*100)</f>
        <v/>
      </c>
      <c r="G12" s="10" t="str">
        <f aca="false">IF(A12="","",INDEX(CHECKS!$F$2:$F$2000,MATCH(A12,CHECKS!$A$2:$A$2000,0))&amp;"")</f>
        <v/>
      </c>
      <c r="H12" s="10" t="str">
        <f aca="false">IF(OR(A12="",G12=""),"",SUMIFS(RECHECKS!$J$2:$J$2000,RECHECKS!$C$2:$C$2000,A12))</f>
        <v/>
      </c>
      <c r="I12" s="14" t="str">
        <f aca="false">IF(OR(H12="",H12=0),"",SUMIFS(RECHECKS!$I$2:$I$2000,RECHECKS!$C$2:$C$2000,A12,RECHECKS!$J$2:$J$2000,1)/(5*H12))</f>
        <v/>
      </c>
      <c r="J12" s="14" t="str">
        <f aca="false">IF(OR(H12="",H12=0),"",SUMIFS(RECHECKS!$E$2:$E$2000,RECHECKS!$C$2:$C$2000,A12,RECHECKS!$J$2:$J$2000,1)/(2*H12))</f>
        <v/>
      </c>
      <c r="K12" s="15" t="str">
        <f aca="false">IF(I12="","",(J12-I12)*100)</f>
        <v/>
      </c>
      <c r="L12" s="15" t="str">
        <f aca="false">IF(F12="","",IF(K12="",F12,F12-K12))</f>
        <v/>
      </c>
      <c r="M12" s="15" t="str">
        <f aca="false">IF(A12="","",(SUMIFS(SCORES!$D$2:$D$2000,SCORES!$C$2:$C$2000,A12)/(5*COUNTIFS(SCORES!$C$2:$C$2000,A12,SCORES!$D$2:$D$2000,"&gt;=0"))-SUMIFS(SCORES!$D$2:$D$2000,SCORES!$D$2:$D$2000,"&gt;=0")/(5*COUNTIFS(SCORES!$D$2:$D$2000,"&gt;=0")))*100)</f>
        <v/>
      </c>
      <c r="N12" s="15" t="str">
        <f aca="false">IF(B12="","",IFERROR(INDEX(UNITS!$E$2:$E$2000,MATCH(B12,UNITS!$A$2:$A$2000,0)),""))</f>
        <v/>
      </c>
      <c r="O12" s="14" t="str">
        <f aca="false">IF(A12="","",IFERROR(COUNTIFS(SCORES!$C$2:$C$2000,A12,SCORES!$B$2:$B$2000,"C",SCORES!$D$2:$D$2000,"&gt;=4")/COUNTIFS(SCORES!$C$2:$C$2000,A12,SCORES!$B$2:$B$2000,"C",SCORES!$D$2:$D$2000,"&gt;=0"),""))</f>
        <v/>
      </c>
      <c r="P12" s="14" t="str">
        <f aca="false">IF(A12="","",IFERROR(COUNTIFS(SCORES!$C$2:$C$2000,A12,SCORES!$B$2:$B$2000,"J",SCORES!$D$2:$D$2000,"&gt;=4")/COUNTIFS(SCORES!$C$2:$C$2000,A12,SCORES!$B$2:$B$2000,"J",SCORES!$D$2:$D$2000,"&gt;=0"),""))</f>
        <v/>
      </c>
      <c r="Q12" s="15" t="str">
        <f aca="false">IF(OR(O12="",P12=""),"",(O12-P12)*100)</f>
        <v/>
      </c>
    </row>
    <row r="13" customFormat="false" ht="15" hidden="false" customHeight="false" outlineLevel="0" collapsed="false">
      <c r="A13" s="7" t="str">
        <f aca="false" t="array" ref="A13:A13">IFERROR(INDEX(CHECKS!$A$2:$A$2000,SMALL(IF(CHECKS!$E$2:$E$2000="y",ROW(CHECKS!$E$2:$E$2000)-1),9)),"")</f>
        <v/>
      </c>
      <c r="B13" s="7" t="str">
        <f aca="false">IF(A13="","",INDEX(CHECKS!$C$2:$C$2000,MATCH(A13,CHECKS!$A$2:$A$2000,0)))</f>
        <v/>
      </c>
      <c r="C13" s="7" t="str">
        <f aca="false">IF(A13="","",SUMIFS(RECHECKS!$G$2:$G$2000,RECHECKS!$C$2:$C$2000,A13))</f>
        <v/>
      </c>
      <c r="D13" s="12" t="str">
        <f aca="false">IF(OR(A13="",C13=0),"",SUMIFS(RECHECKS!$F$2:$F$2000,RECHECKS!$C$2:$C$2000,A13,RECHECKS!$G$2:$G$2000,1)/(5*C13))</f>
        <v/>
      </c>
      <c r="E13" s="12" t="str">
        <f aca="false">IF(OR(A13="",C13=0),"",SUMIFS(RECHECKS!$D$2:$D$2000,RECHECKS!$C$2:$C$2000,A13,RECHECKS!$G$2:$G$2000,1)/(3*C13))</f>
        <v/>
      </c>
      <c r="F13" s="13" t="str">
        <f aca="false">IF(D13="","",(E13-D13)*100)</f>
        <v/>
      </c>
      <c r="G13" s="7" t="str">
        <f aca="false">IF(A13="","",INDEX(CHECKS!$F$2:$F$2000,MATCH(A13,CHECKS!$A$2:$A$2000,0))&amp;"")</f>
        <v/>
      </c>
      <c r="H13" s="7" t="str">
        <f aca="false">IF(OR(A13="",G13=""),"",SUMIFS(RECHECKS!$J$2:$J$2000,RECHECKS!$C$2:$C$2000,A13))</f>
        <v/>
      </c>
      <c r="I13" s="12" t="str">
        <f aca="false">IF(OR(H13="",H13=0),"",SUMIFS(RECHECKS!$I$2:$I$2000,RECHECKS!$C$2:$C$2000,A13,RECHECKS!$J$2:$J$2000,1)/(5*H13))</f>
        <v/>
      </c>
      <c r="J13" s="12" t="str">
        <f aca="false">IF(OR(H13="",H13=0),"",SUMIFS(RECHECKS!$E$2:$E$2000,RECHECKS!$C$2:$C$2000,A13,RECHECKS!$J$2:$J$2000,1)/(2*H13))</f>
        <v/>
      </c>
      <c r="K13" s="13" t="str">
        <f aca="false">IF(I13="","",(J13-I13)*100)</f>
        <v/>
      </c>
      <c r="L13" s="13" t="str">
        <f aca="false">IF(F13="","",IF(K13="",F13,F13-K13))</f>
        <v/>
      </c>
      <c r="M13" s="13" t="str">
        <f aca="false">IF(A13="","",(SUMIFS(SCORES!$D$2:$D$2000,SCORES!$C$2:$C$2000,A13)/(5*COUNTIFS(SCORES!$C$2:$C$2000,A13,SCORES!$D$2:$D$2000,"&gt;=0"))-SUMIFS(SCORES!$D$2:$D$2000,SCORES!$D$2:$D$2000,"&gt;=0")/(5*COUNTIFS(SCORES!$D$2:$D$2000,"&gt;=0")))*100)</f>
        <v/>
      </c>
      <c r="N13" s="13" t="str">
        <f aca="false">IF(B13="","",IFERROR(INDEX(UNITS!$E$2:$E$2000,MATCH(B13,UNITS!$A$2:$A$2000,0)),""))</f>
        <v/>
      </c>
      <c r="O13" s="12" t="str">
        <f aca="false">IF(A13="","",IFERROR(COUNTIFS(SCORES!$C$2:$C$2000,A13,SCORES!$B$2:$B$2000,"C",SCORES!$D$2:$D$2000,"&gt;=4")/COUNTIFS(SCORES!$C$2:$C$2000,A13,SCORES!$B$2:$B$2000,"C",SCORES!$D$2:$D$2000,"&gt;=0"),""))</f>
        <v/>
      </c>
      <c r="P13" s="12" t="str">
        <f aca="false">IF(A13="","",IFERROR(COUNTIFS(SCORES!$C$2:$C$2000,A13,SCORES!$B$2:$B$2000,"J",SCORES!$D$2:$D$2000,"&gt;=4")/COUNTIFS(SCORES!$C$2:$C$2000,A13,SCORES!$B$2:$B$2000,"J",SCORES!$D$2:$D$2000,"&gt;=0"),""))</f>
        <v/>
      </c>
      <c r="Q13" s="13" t="str">
        <f aca="false">IF(OR(O13="",P13=""),"",(O13-P13)*100)</f>
        <v/>
      </c>
    </row>
    <row r="14" customFormat="false" ht="15" hidden="false" customHeight="false" outlineLevel="0" collapsed="false">
      <c r="A14" s="10" t="str">
        <f aca="false" t="array" ref="A14:A14">IFERROR(INDEX(CHECKS!$A$2:$A$2000,SMALL(IF(CHECKS!$E$2:$E$2000="y",ROW(CHECKS!$E$2:$E$2000)-1),10)),"")</f>
        <v/>
      </c>
      <c r="B14" s="10" t="str">
        <f aca="false">IF(A14="","",INDEX(CHECKS!$C$2:$C$2000,MATCH(A14,CHECKS!$A$2:$A$2000,0)))</f>
        <v/>
      </c>
      <c r="C14" s="10" t="str">
        <f aca="false">IF(A14="","",SUMIFS(RECHECKS!$G$2:$G$2000,RECHECKS!$C$2:$C$2000,A14))</f>
        <v/>
      </c>
      <c r="D14" s="14" t="str">
        <f aca="false">IF(OR(A14="",C14=0),"",SUMIFS(RECHECKS!$F$2:$F$2000,RECHECKS!$C$2:$C$2000,A14,RECHECKS!$G$2:$G$2000,1)/(5*C14))</f>
        <v/>
      </c>
      <c r="E14" s="14" t="str">
        <f aca="false">IF(OR(A14="",C14=0),"",SUMIFS(RECHECKS!$D$2:$D$2000,RECHECKS!$C$2:$C$2000,A14,RECHECKS!$G$2:$G$2000,1)/(3*C14))</f>
        <v/>
      </c>
      <c r="F14" s="15" t="str">
        <f aca="false">IF(D14="","",(E14-D14)*100)</f>
        <v/>
      </c>
      <c r="G14" s="10" t="str">
        <f aca="false">IF(A14="","",INDEX(CHECKS!$F$2:$F$2000,MATCH(A14,CHECKS!$A$2:$A$2000,0))&amp;"")</f>
        <v/>
      </c>
      <c r="H14" s="10" t="str">
        <f aca="false">IF(OR(A14="",G14=""),"",SUMIFS(RECHECKS!$J$2:$J$2000,RECHECKS!$C$2:$C$2000,A14))</f>
        <v/>
      </c>
      <c r="I14" s="14" t="str">
        <f aca="false">IF(OR(H14="",H14=0),"",SUMIFS(RECHECKS!$I$2:$I$2000,RECHECKS!$C$2:$C$2000,A14,RECHECKS!$J$2:$J$2000,1)/(5*H14))</f>
        <v/>
      </c>
      <c r="J14" s="14" t="str">
        <f aca="false">IF(OR(H14="",H14=0),"",SUMIFS(RECHECKS!$E$2:$E$2000,RECHECKS!$C$2:$C$2000,A14,RECHECKS!$J$2:$J$2000,1)/(2*H14))</f>
        <v/>
      </c>
      <c r="K14" s="15" t="str">
        <f aca="false">IF(I14="","",(J14-I14)*100)</f>
        <v/>
      </c>
      <c r="L14" s="15" t="str">
        <f aca="false">IF(F14="","",IF(K14="",F14,F14-K14))</f>
        <v/>
      </c>
      <c r="M14" s="15" t="str">
        <f aca="false">IF(A14="","",(SUMIFS(SCORES!$D$2:$D$2000,SCORES!$C$2:$C$2000,A14)/(5*COUNTIFS(SCORES!$C$2:$C$2000,A14,SCORES!$D$2:$D$2000,"&gt;=0"))-SUMIFS(SCORES!$D$2:$D$2000,SCORES!$D$2:$D$2000,"&gt;=0")/(5*COUNTIFS(SCORES!$D$2:$D$2000,"&gt;=0")))*100)</f>
        <v/>
      </c>
      <c r="N14" s="15" t="str">
        <f aca="false">IF(B14="","",IFERROR(INDEX(UNITS!$E$2:$E$2000,MATCH(B14,UNITS!$A$2:$A$2000,0)),""))</f>
        <v/>
      </c>
      <c r="O14" s="14" t="str">
        <f aca="false">IF(A14="","",IFERROR(COUNTIFS(SCORES!$C$2:$C$2000,A14,SCORES!$B$2:$B$2000,"C",SCORES!$D$2:$D$2000,"&gt;=4")/COUNTIFS(SCORES!$C$2:$C$2000,A14,SCORES!$B$2:$B$2000,"C",SCORES!$D$2:$D$2000,"&gt;=0"),""))</f>
        <v/>
      </c>
      <c r="P14" s="14" t="str">
        <f aca="false">IF(A14="","",IFERROR(COUNTIFS(SCORES!$C$2:$C$2000,A14,SCORES!$B$2:$B$2000,"J",SCORES!$D$2:$D$2000,"&gt;=4")/COUNTIFS(SCORES!$C$2:$C$2000,A14,SCORES!$B$2:$B$2000,"J",SCORES!$D$2:$D$2000,"&gt;=0"),""))</f>
        <v/>
      </c>
      <c r="Q14" s="15" t="str">
        <f aca="false">IF(OR(O14="",P14=""),"",(O14-P14)*100)</f>
        <v/>
      </c>
    </row>
    <row r="15" customFormat="false" ht="15" hidden="false" customHeight="false" outlineLevel="0" collapsed="false">
      <c r="A15" s="7" t="str">
        <f aca="false" t="array" ref="A15:A15">IFERROR(INDEX(CHECKS!$A$2:$A$2000,SMALL(IF(CHECKS!$E$2:$E$2000="y",ROW(CHECKS!$E$2:$E$2000)-1),11)),"")</f>
        <v/>
      </c>
      <c r="B15" s="7" t="str">
        <f aca="false">IF(A15="","",INDEX(CHECKS!$C$2:$C$2000,MATCH(A15,CHECKS!$A$2:$A$2000,0)))</f>
        <v/>
      </c>
      <c r="C15" s="7" t="str">
        <f aca="false">IF(A15="","",SUMIFS(RECHECKS!$G$2:$G$2000,RECHECKS!$C$2:$C$2000,A15))</f>
        <v/>
      </c>
      <c r="D15" s="12" t="str">
        <f aca="false">IF(OR(A15="",C15=0),"",SUMIFS(RECHECKS!$F$2:$F$2000,RECHECKS!$C$2:$C$2000,A15,RECHECKS!$G$2:$G$2000,1)/(5*C15))</f>
        <v/>
      </c>
      <c r="E15" s="12" t="str">
        <f aca="false">IF(OR(A15="",C15=0),"",SUMIFS(RECHECKS!$D$2:$D$2000,RECHECKS!$C$2:$C$2000,A15,RECHECKS!$G$2:$G$2000,1)/(3*C15))</f>
        <v/>
      </c>
      <c r="F15" s="13" t="str">
        <f aca="false">IF(D15="","",(E15-D15)*100)</f>
        <v/>
      </c>
      <c r="G15" s="7" t="str">
        <f aca="false">IF(A15="","",INDEX(CHECKS!$F$2:$F$2000,MATCH(A15,CHECKS!$A$2:$A$2000,0))&amp;"")</f>
        <v/>
      </c>
      <c r="H15" s="7" t="str">
        <f aca="false">IF(OR(A15="",G15=""),"",SUMIFS(RECHECKS!$J$2:$J$2000,RECHECKS!$C$2:$C$2000,A15))</f>
        <v/>
      </c>
      <c r="I15" s="12" t="str">
        <f aca="false">IF(OR(H15="",H15=0),"",SUMIFS(RECHECKS!$I$2:$I$2000,RECHECKS!$C$2:$C$2000,A15,RECHECKS!$J$2:$J$2000,1)/(5*H15))</f>
        <v/>
      </c>
      <c r="J15" s="12" t="str">
        <f aca="false">IF(OR(H15="",H15=0),"",SUMIFS(RECHECKS!$E$2:$E$2000,RECHECKS!$C$2:$C$2000,A15,RECHECKS!$J$2:$J$2000,1)/(2*H15))</f>
        <v/>
      </c>
      <c r="K15" s="13" t="str">
        <f aca="false">IF(I15="","",(J15-I15)*100)</f>
        <v/>
      </c>
      <c r="L15" s="13" t="str">
        <f aca="false">IF(F15="","",IF(K15="",F15,F15-K15))</f>
        <v/>
      </c>
      <c r="M15" s="13" t="str">
        <f aca="false">IF(A15="","",(SUMIFS(SCORES!$D$2:$D$2000,SCORES!$C$2:$C$2000,A15)/(5*COUNTIFS(SCORES!$C$2:$C$2000,A15,SCORES!$D$2:$D$2000,"&gt;=0"))-SUMIFS(SCORES!$D$2:$D$2000,SCORES!$D$2:$D$2000,"&gt;=0")/(5*COUNTIFS(SCORES!$D$2:$D$2000,"&gt;=0")))*100)</f>
        <v/>
      </c>
      <c r="N15" s="13" t="str">
        <f aca="false">IF(B15="","",IFERROR(INDEX(UNITS!$E$2:$E$2000,MATCH(B15,UNITS!$A$2:$A$2000,0)),""))</f>
        <v/>
      </c>
      <c r="O15" s="12" t="str">
        <f aca="false">IF(A15="","",IFERROR(COUNTIFS(SCORES!$C$2:$C$2000,A15,SCORES!$B$2:$B$2000,"C",SCORES!$D$2:$D$2000,"&gt;=4")/COUNTIFS(SCORES!$C$2:$C$2000,A15,SCORES!$B$2:$B$2000,"C",SCORES!$D$2:$D$2000,"&gt;=0"),""))</f>
        <v/>
      </c>
      <c r="P15" s="12" t="str">
        <f aca="false">IF(A15="","",IFERROR(COUNTIFS(SCORES!$C$2:$C$2000,A15,SCORES!$B$2:$B$2000,"J",SCORES!$D$2:$D$2000,"&gt;=4")/COUNTIFS(SCORES!$C$2:$C$2000,A15,SCORES!$B$2:$B$2000,"J",SCORES!$D$2:$D$2000,"&gt;=0"),""))</f>
        <v/>
      </c>
      <c r="Q15" s="13" t="str">
        <f aca="false">IF(OR(O15="",P15=""),"",(O15-P15)*100)</f>
        <v/>
      </c>
    </row>
    <row r="16" customFormat="false" ht="15" hidden="false" customHeight="false" outlineLevel="0" collapsed="false">
      <c r="A16" s="10" t="str">
        <f aca="false" t="array" ref="A16:A16">IFERROR(INDEX(CHECKS!$A$2:$A$2000,SMALL(IF(CHECKS!$E$2:$E$2000="y",ROW(CHECKS!$E$2:$E$2000)-1),12)),"")</f>
        <v/>
      </c>
      <c r="B16" s="10" t="str">
        <f aca="false">IF(A16="","",INDEX(CHECKS!$C$2:$C$2000,MATCH(A16,CHECKS!$A$2:$A$2000,0)))</f>
        <v/>
      </c>
      <c r="C16" s="10" t="str">
        <f aca="false">IF(A16="","",SUMIFS(RECHECKS!$G$2:$G$2000,RECHECKS!$C$2:$C$2000,A16))</f>
        <v/>
      </c>
      <c r="D16" s="14" t="str">
        <f aca="false">IF(OR(A16="",C16=0),"",SUMIFS(RECHECKS!$F$2:$F$2000,RECHECKS!$C$2:$C$2000,A16,RECHECKS!$G$2:$G$2000,1)/(5*C16))</f>
        <v/>
      </c>
      <c r="E16" s="14" t="str">
        <f aca="false">IF(OR(A16="",C16=0),"",SUMIFS(RECHECKS!$D$2:$D$2000,RECHECKS!$C$2:$C$2000,A16,RECHECKS!$G$2:$G$2000,1)/(3*C16))</f>
        <v/>
      </c>
      <c r="F16" s="15" t="str">
        <f aca="false">IF(D16="","",(E16-D16)*100)</f>
        <v/>
      </c>
      <c r="G16" s="10" t="str">
        <f aca="false">IF(A16="","",INDEX(CHECKS!$F$2:$F$2000,MATCH(A16,CHECKS!$A$2:$A$2000,0))&amp;"")</f>
        <v/>
      </c>
      <c r="H16" s="10" t="str">
        <f aca="false">IF(OR(A16="",G16=""),"",SUMIFS(RECHECKS!$J$2:$J$2000,RECHECKS!$C$2:$C$2000,A16))</f>
        <v/>
      </c>
      <c r="I16" s="14" t="str">
        <f aca="false">IF(OR(H16="",H16=0),"",SUMIFS(RECHECKS!$I$2:$I$2000,RECHECKS!$C$2:$C$2000,A16,RECHECKS!$J$2:$J$2000,1)/(5*H16))</f>
        <v/>
      </c>
      <c r="J16" s="14" t="str">
        <f aca="false">IF(OR(H16="",H16=0),"",SUMIFS(RECHECKS!$E$2:$E$2000,RECHECKS!$C$2:$C$2000,A16,RECHECKS!$J$2:$J$2000,1)/(2*H16))</f>
        <v/>
      </c>
      <c r="K16" s="15" t="str">
        <f aca="false">IF(I16="","",(J16-I16)*100)</f>
        <v/>
      </c>
      <c r="L16" s="15" t="str">
        <f aca="false">IF(F16="","",IF(K16="",F16,F16-K16))</f>
        <v/>
      </c>
      <c r="M16" s="15" t="str">
        <f aca="false">IF(A16="","",(SUMIFS(SCORES!$D$2:$D$2000,SCORES!$C$2:$C$2000,A16)/(5*COUNTIFS(SCORES!$C$2:$C$2000,A16,SCORES!$D$2:$D$2000,"&gt;=0"))-SUMIFS(SCORES!$D$2:$D$2000,SCORES!$D$2:$D$2000,"&gt;=0")/(5*COUNTIFS(SCORES!$D$2:$D$2000,"&gt;=0")))*100)</f>
        <v/>
      </c>
      <c r="N16" s="15" t="str">
        <f aca="false">IF(B16="","",IFERROR(INDEX(UNITS!$E$2:$E$2000,MATCH(B16,UNITS!$A$2:$A$2000,0)),""))</f>
        <v/>
      </c>
      <c r="O16" s="14" t="str">
        <f aca="false">IF(A16="","",IFERROR(COUNTIFS(SCORES!$C$2:$C$2000,A16,SCORES!$B$2:$B$2000,"C",SCORES!$D$2:$D$2000,"&gt;=4")/COUNTIFS(SCORES!$C$2:$C$2000,A16,SCORES!$B$2:$B$2000,"C",SCORES!$D$2:$D$2000,"&gt;=0"),""))</f>
        <v/>
      </c>
      <c r="P16" s="14" t="str">
        <f aca="false">IF(A16="","",IFERROR(COUNTIFS(SCORES!$C$2:$C$2000,A16,SCORES!$B$2:$B$2000,"J",SCORES!$D$2:$D$2000,"&gt;=4")/COUNTIFS(SCORES!$C$2:$C$2000,A16,SCORES!$B$2:$B$2000,"J",SCORES!$D$2:$D$2000,"&gt;=0"),""))</f>
        <v/>
      </c>
      <c r="Q16" s="15" t="str">
        <f aca="false">IF(OR(O16="",P16=""),"",(O16-P16)*100)</f>
        <v/>
      </c>
    </row>
    <row r="17" customFormat="false" ht="15" hidden="false" customHeight="false" outlineLevel="0" collapsed="false">
      <c r="A17" s="7" t="str">
        <f aca="false" t="array" ref="A17:A17">IFERROR(INDEX(CHECKS!$A$2:$A$2000,SMALL(IF(CHECKS!$E$2:$E$2000="y",ROW(CHECKS!$E$2:$E$2000)-1),13)),"")</f>
        <v/>
      </c>
      <c r="B17" s="7" t="str">
        <f aca="false">IF(A17="","",INDEX(CHECKS!$C$2:$C$2000,MATCH(A17,CHECKS!$A$2:$A$2000,0)))</f>
        <v/>
      </c>
      <c r="C17" s="7" t="str">
        <f aca="false">IF(A17="","",SUMIFS(RECHECKS!$G$2:$G$2000,RECHECKS!$C$2:$C$2000,A17))</f>
        <v/>
      </c>
      <c r="D17" s="12" t="str">
        <f aca="false">IF(OR(A17="",C17=0),"",SUMIFS(RECHECKS!$F$2:$F$2000,RECHECKS!$C$2:$C$2000,A17,RECHECKS!$G$2:$G$2000,1)/(5*C17))</f>
        <v/>
      </c>
      <c r="E17" s="12" t="str">
        <f aca="false">IF(OR(A17="",C17=0),"",SUMIFS(RECHECKS!$D$2:$D$2000,RECHECKS!$C$2:$C$2000,A17,RECHECKS!$G$2:$G$2000,1)/(3*C17))</f>
        <v/>
      </c>
      <c r="F17" s="13" t="str">
        <f aca="false">IF(D17="","",(E17-D17)*100)</f>
        <v/>
      </c>
      <c r="G17" s="7" t="str">
        <f aca="false">IF(A17="","",INDEX(CHECKS!$F$2:$F$2000,MATCH(A17,CHECKS!$A$2:$A$2000,0))&amp;"")</f>
        <v/>
      </c>
      <c r="H17" s="7" t="str">
        <f aca="false">IF(OR(A17="",G17=""),"",SUMIFS(RECHECKS!$J$2:$J$2000,RECHECKS!$C$2:$C$2000,A17))</f>
        <v/>
      </c>
      <c r="I17" s="12" t="str">
        <f aca="false">IF(OR(H17="",H17=0),"",SUMIFS(RECHECKS!$I$2:$I$2000,RECHECKS!$C$2:$C$2000,A17,RECHECKS!$J$2:$J$2000,1)/(5*H17))</f>
        <v/>
      </c>
      <c r="J17" s="12" t="str">
        <f aca="false">IF(OR(H17="",H17=0),"",SUMIFS(RECHECKS!$E$2:$E$2000,RECHECKS!$C$2:$C$2000,A17,RECHECKS!$J$2:$J$2000,1)/(2*H17))</f>
        <v/>
      </c>
      <c r="K17" s="13" t="str">
        <f aca="false">IF(I17="","",(J17-I17)*100)</f>
        <v/>
      </c>
      <c r="L17" s="13" t="str">
        <f aca="false">IF(F17="","",IF(K17="",F17,F17-K17))</f>
        <v/>
      </c>
      <c r="M17" s="13" t="str">
        <f aca="false">IF(A17="","",(SUMIFS(SCORES!$D$2:$D$2000,SCORES!$C$2:$C$2000,A17)/(5*COUNTIFS(SCORES!$C$2:$C$2000,A17,SCORES!$D$2:$D$2000,"&gt;=0"))-SUMIFS(SCORES!$D$2:$D$2000,SCORES!$D$2:$D$2000,"&gt;=0")/(5*COUNTIFS(SCORES!$D$2:$D$2000,"&gt;=0")))*100)</f>
        <v/>
      </c>
      <c r="N17" s="13" t="str">
        <f aca="false">IF(B17="","",IFERROR(INDEX(UNITS!$E$2:$E$2000,MATCH(B17,UNITS!$A$2:$A$2000,0)),""))</f>
        <v/>
      </c>
      <c r="O17" s="12" t="str">
        <f aca="false">IF(A17="","",IFERROR(COUNTIFS(SCORES!$C$2:$C$2000,A17,SCORES!$B$2:$B$2000,"C",SCORES!$D$2:$D$2000,"&gt;=4")/COUNTIFS(SCORES!$C$2:$C$2000,A17,SCORES!$B$2:$B$2000,"C",SCORES!$D$2:$D$2000,"&gt;=0"),""))</f>
        <v/>
      </c>
      <c r="P17" s="12" t="str">
        <f aca="false">IF(A17="","",IFERROR(COUNTIFS(SCORES!$C$2:$C$2000,A17,SCORES!$B$2:$B$2000,"J",SCORES!$D$2:$D$2000,"&gt;=4")/COUNTIFS(SCORES!$C$2:$C$2000,A17,SCORES!$B$2:$B$2000,"J",SCORES!$D$2:$D$2000,"&gt;=0"),""))</f>
        <v/>
      </c>
      <c r="Q17" s="13" t="str">
        <f aca="false">IF(OR(O17="",P17=""),"",(O17-P17)*100)</f>
        <v/>
      </c>
    </row>
    <row r="18" customFormat="false" ht="15" hidden="false" customHeight="false" outlineLevel="0" collapsed="false">
      <c r="A18" s="10" t="str">
        <f aca="false" t="array" ref="A18:A18">IFERROR(INDEX(CHECKS!$A$2:$A$2000,SMALL(IF(CHECKS!$E$2:$E$2000="y",ROW(CHECKS!$E$2:$E$2000)-1),14)),"")</f>
        <v/>
      </c>
      <c r="B18" s="10" t="str">
        <f aca="false">IF(A18="","",INDEX(CHECKS!$C$2:$C$2000,MATCH(A18,CHECKS!$A$2:$A$2000,0)))</f>
        <v/>
      </c>
      <c r="C18" s="10" t="str">
        <f aca="false">IF(A18="","",SUMIFS(RECHECKS!$G$2:$G$2000,RECHECKS!$C$2:$C$2000,A18))</f>
        <v/>
      </c>
      <c r="D18" s="14" t="str">
        <f aca="false">IF(OR(A18="",C18=0),"",SUMIFS(RECHECKS!$F$2:$F$2000,RECHECKS!$C$2:$C$2000,A18,RECHECKS!$G$2:$G$2000,1)/(5*C18))</f>
        <v/>
      </c>
      <c r="E18" s="14" t="str">
        <f aca="false">IF(OR(A18="",C18=0),"",SUMIFS(RECHECKS!$D$2:$D$2000,RECHECKS!$C$2:$C$2000,A18,RECHECKS!$G$2:$G$2000,1)/(3*C18))</f>
        <v/>
      </c>
      <c r="F18" s="15" t="str">
        <f aca="false">IF(D18="","",(E18-D18)*100)</f>
        <v/>
      </c>
      <c r="G18" s="10" t="str">
        <f aca="false">IF(A18="","",INDEX(CHECKS!$F$2:$F$2000,MATCH(A18,CHECKS!$A$2:$A$2000,0))&amp;"")</f>
        <v/>
      </c>
      <c r="H18" s="10" t="str">
        <f aca="false">IF(OR(A18="",G18=""),"",SUMIFS(RECHECKS!$J$2:$J$2000,RECHECKS!$C$2:$C$2000,A18))</f>
        <v/>
      </c>
      <c r="I18" s="14" t="str">
        <f aca="false">IF(OR(H18="",H18=0),"",SUMIFS(RECHECKS!$I$2:$I$2000,RECHECKS!$C$2:$C$2000,A18,RECHECKS!$J$2:$J$2000,1)/(5*H18))</f>
        <v/>
      </c>
      <c r="J18" s="14" t="str">
        <f aca="false">IF(OR(H18="",H18=0),"",SUMIFS(RECHECKS!$E$2:$E$2000,RECHECKS!$C$2:$C$2000,A18,RECHECKS!$J$2:$J$2000,1)/(2*H18))</f>
        <v/>
      </c>
      <c r="K18" s="15" t="str">
        <f aca="false">IF(I18="","",(J18-I18)*100)</f>
        <v/>
      </c>
      <c r="L18" s="15" t="str">
        <f aca="false">IF(F18="","",IF(K18="",F18,F18-K18))</f>
        <v/>
      </c>
      <c r="M18" s="15" t="str">
        <f aca="false">IF(A18="","",(SUMIFS(SCORES!$D$2:$D$2000,SCORES!$C$2:$C$2000,A18)/(5*COUNTIFS(SCORES!$C$2:$C$2000,A18,SCORES!$D$2:$D$2000,"&gt;=0"))-SUMIFS(SCORES!$D$2:$D$2000,SCORES!$D$2:$D$2000,"&gt;=0")/(5*COUNTIFS(SCORES!$D$2:$D$2000,"&gt;=0")))*100)</f>
        <v/>
      </c>
      <c r="N18" s="15" t="str">
        <f aca="false">IF(B18="","",IFERROR(INDEX(UNITS!$E$2:$E$2000,MATCH(B18,UNITS!$A$2:$A$2000,0)),""))</f>
        <v/>
      </c>
      <c r="O18" s="14" t="str">
        <f aca="false">IF(A18="","",IFERROR(COUNTIFS(SCORES!$C$2:$C$2000,A18,SCORES!$B$2:$B$2000,"C",SCORES!$D$2:$D$2000,"&gt;=4")/COUNTIFS(SCORES!$C$2:$C$2000,A18,SCORES!$B$2:$B$2000,"C",SCORES!$D$2:$D$2000,"&gt;=0"),""))</f>
        <v/>
      </c>
      <c r="P18" s="14" t="str">
        <f aca="false">IF(A18="","",IFERROR(COUNTIFS(SCORES!$C$2:$C$2000,A18,SCORES!$B$2:$B$2000,"J",SCORES!$D$2:$D$2000,"&gt;=4")/COUNTIFS(SCORES!$C$2:$C$2000,A18,SCORES!$B$2:$B$2000,"J",SCORES!$D$2:$D$2000,"&gt;=0"),""))</f>
        <v/>
      </c>
      <c r="Q18" s="15" t="str">
        <f aca="false">IF(OR(O18="",P18=""),"",(O18-P18)*100)</f>
        <v/>
      </c>
    </row>
    <row r="19" customFormat="false" ht="15" hidden="false" customHeight="false" outlineLevel="0" collapsed="false">
      <c r="A19" s="7" t="str">
        <f aca="false" t="array" ref="A19:A19">IFERROR(INDEX(CHECKS!$A$2:$A$2000,SMALL(IF(CHECKS!$E$2:$E$2000="y",ROW(CHECKS!$E$2:$E$2000)-1),15)),"")</f>
        <v/>
      </c>
      <c r="B19" s="7" t="str">
        <f aca="false">IF(A19="","",INDEX(CHECKS!$C$2:$C$2000,MATCH(A19,CHECKS!$A$2:$A$2000,0)))</f>
        <v/>
      </c>
      <c r="C19" s="7" t="str">
        <f aca="false">IF(A19="","",SUMIFS(RECHECKS!$G$2:$G$2000,RECHECKS!$C$2:$C$2000,A19))</f>
        <v/>
      </c>
      <c r="D19" s="12" t="str">
        <f aca="false">IF(OR(A19="",C19=0),"",SUMIFS(RECHECKS!$F$2:$F$2000,RECHECKS!$C$2:$C$2000,A19,RECHECKS!$G$2:$G$2000,1)/(5*C19))</f>
        <v/>
      </c>
      <c r="E19" s="12" t="str">
        <f aca="false">IF(OR(A19="",C19=0),"",SUMIFS(RECHECKS!$D$2:$D$2000,RECHECKS!$C$2:$C$2000,A19,RECHECKS!$G$2:$G$2000,1)/(3*C19))</f>
        <v/>
      </c>
      <c r="F19" s="13" t="str">
        <f aca="false">IF(D19="","",(E19-D19)*100)</f>
        <v/>
      </c>
      <c r="G19" s="7" t="str">
        <f aca="false">IF(A19="","",INDEX(CHECKS!$F$2:$F$2000,MATCH(A19,CHECKS!$A$2:$A$2000,0))&amp;"")</f>
        <v/>
      </c>
      <c r="H19" s="7" t="str">
        <f aca="false">IF(OR(A19="",G19=""),"",SUMIFS(RECHECKS!$J$2:$J$2000,RECHECKS!$C$2:$C$2000,A19))</f>
        <v/>
      </c>
      <c r="I19" s="12" t="str">
        <f aca="false">IF(OR(H19="",H19=0),"",SUMIFS(RECHECKS!$I$2:$I$2000,RECHECKS!$C$2:$C$2000,A19,RECHECKS!$J$2:$J$2000,1)/(5*H19))</f>
        <v/>
      </c>
      <c r="J19" s="12" t="str">
        <f aca="false">IF(OR(H19="",H19=0),"",SUMIFS(RECHECKS!$E$2:$E$2000,RECHECKS!$C$2:$C$2000,A19,RECHECKS!$J$2:$J$2000,1)/(2*H19))</f>
        <v/>
      </c>
      <c r="K19" s="13" t="str">
        <f aca="false">IF(I19="","",(J19-I19)*100)</f>
        <v/>
      </c>
      <c r="L19" s="13" t="str">
        <f aca="false">IF(F19="","",IF(K19="",F19,F19-K19))</f>
        <v/>
      </c>
      <c r="M19" s="13" t="str">
        <f aca="false">IF(A19="","",(SUMIFS(SCORES!$D$2:$D$2000,SCORES!$C$2:$C$2000,A19)/(5*COUNTIFS(SCORES!$C$2:$C$2000,A19,SCORES!$D$2:$D$2000,"&gt;=0"))-SUMIFS(SCORES!$D$2:$D$2000,SCORES!$D$2:$D$2000,"&gt;=0")/(5*COUNTIFS(SCORES!$D$2:$D$2000,"&gt;=0")))*100)</f>
        <v/>
      </c>
      <c r="N19" s="13" t="str">
        <f aca="false">IF(B19="","",IFERROR(INDEX(UNITS!$E$2:$E$2000,MATCH(B19,UNITS!$A$2:$A$2000,0)),""))</f>
        <v/>
      </c>
      <c r="O19" s="12" t="str">
        <f aca="false">IF(A19="","",IFERROR(COUNTIFS(SCORES!$C$2:$C$2000,A19,SCORES!$B$2:$B$2000,"C",SCORES!$D$2:$D$2000,"&gt;=4")/COUNTIFS(SCORES!$C$2:$C$2000,A19,SCORES!$B$2:$B$2000,"C",SCORES!$D$2:$D$2000,"&gt;=0"),""))</f>
        <v/>
      </c>
      <c r="P19" s="12" t="str">
        <f aca="false">IF(A19="","",IFERROR(COUNTIFS(SCORES!$C$2:$C$2000,A19,SCORES!$B$2:$B$2000,"J",SCORES!$D$2:$D$2000,"&gt;=4")/COUNTIFS(SCORES!$C$2:$C$2000,A19,SCORES!$B$2:$B$2000,"J",SCORES!$D$2:$D$2000,"&gt;=0"),""))</f>
        <v/>
      </c>
      <c r="Q19" s="13" t="str">
        <f aca="false">IF(OR(O19="",P19=""),"",(O19-P19)*100)</f>
        <v/>
      </c>
    </row>
    <row r="20" customFormat="false" ht="15" hidden="false" customHeight="false" outlineLevel="0" collapsed="false">
      <c r="A20" s="10" t="str">
        <f aca="false" t="array" ref="A20:A20">IFERROR(INDEX(CHECKS!$A$2:$A$2000,SMALL(IF(CHECKS!$E$2:$E$2000="y",ROW(CHECKS!$E$2:$E$2000)-1),16)),"")</f>
        <v/>
      </c>
      <c r="B20" s="10" t="str">
        <f aca="false">IF(A20="","",INDEX(CHECKS!$C$2:$C$2000,MATCH(A20,CHECKS!$A$2:$A$2000,0)))</f>
        <v/>
      </c>
      <c r="C20" s="10" t="str">
        <f aca="false">IF(A20="","",SUMIFS(RECHECKS!$G$2:$G$2000,RECHECKS!$C$2:$C$2000,A20))</f>
        <v/>
      </c>
      <c r="D20" s="14" t="str">
        <f aca="false">IF(OR(A20="",C20=0),"",SUMIFS(RECHECKS!$F$2:$F$2000,RECHECKS!$C$2:$C$2000,A20,RECHECKS!$G$2:$G$2000,1)/(5*C20))</f>
        <v/>
      </c>
      <c r="E20" s="14" t="str">
        <f aca="false">IF(OR(A20="",C20=0),"",SUMIFS(RECHECKS!$D$2:$D$2000,RECHECKS!$C$2:$C$2000,A20,RECHECKS!$G$2:$G$2000,1)/(3*C20))</f>
        <v/>
      </c>
      <c r="F20" s="15" t="str">
        <f aca="false">IF(D20="","",(E20-D20)*100)</f>
        <v/>
      </c>
      <c r="G20" s="10" t="str">
        <f aca="false">IF(A20="","",INDEX(CHECKS!$F$2:$F$2000,MATCH(A20,CHECKS!$A$2:$A$2000,0))&amp;"")</f>
        <v/>
      </c>
      <c r="H20" s="10" t="str">
        <f aca="false">IF(OR(A20="",G20=""),"",SUMIFS(RECHECKS!$J$2:$J$2000,RECHECKS!$C$2:$C$2000,A20))</f>
        <v/>
      </c>
      <c r="I20" s="14" t="str">
        <f aca="false">IF(OR(H20="",H20=0),"",SUMIFS(RECHECKS!$I$2:$I$2000,RECHECKS!$C$2:$C$2000,A20,RECHECKS!$J$2:$J$2000,1)/(5*H20))</f>
        <v/>
      </c>
      <c r="J20" s="14" t="str">
        <f aca="false">IF(OR(H20="",H20=0),"",SUMIFS(RECHECKS!$E$2:$E$2000,RECHECKS!$C$2:$C$2000,A20,RECHECKS!$J$2:$J$2000,1)/(2*H20))</f>
        <v/>
      </c>
      <c r="K20" s="15" t="str">
        <f aca="false">IF(I20="","",(J20-I20)*100)</f>
        <v/>
      </c>
      <c r="L20" s="15" t="str">
        <f aca="false">IF(F20="","",IF(K20="",F20,F20-K20))</f>
        <v/>
      </c>
      <c r="M20" s="15" t="str">
        <f aca="false">IF(A20="","",(SUMIFS(SCORES!$D$2:$D$2000,SCORES!$C$2:$C$2000,A20)/(5*COUNTIFS(SCORES!$C$2:$C$2000,A20,SCORES!$D$2:$D$2000,"&gt;=0"))-SUMIFS(SCORES!$D$2:$D$2000,SCORES!$D$2:$D$2000,"&gt;=0")/(5*COUNTIFS(SCORES!$D$2:$D$2000,"&gt;=0")))*100)</f>
        <v/>
      </c>
      <c r="N20" s="15" t="str">
        <f aca="false">IF(B20="","",IFERROR(INDEX(UNITS!$E$2:$E$2000,MATCH(B20,UNITS!$A$2:$A$2000,0)),""))</f>
        <v/>
      </c>
      <c r="O20" s="14" t="str">
        <f aca="false">IF(A20="","",IFERROR(COUNTIFS(SCORES!$C$2:$C$2000,A20,SCORES!$B$2:$B$2000,"C",SCORES!$D$2:$D$2000,"&gt;=4")/COUNTIFS(SCORES!$C$2:$C$2000,A20,SCORES!$B$2:$B$2000,"C",SCORES!$D$2:$D$2000,"&gt;=0"),""))</f>
        <v/>
      </c>
      <c r="P20" s="14" t="str">
        <f aca="false">IF(A20="","",IFERROR(COUNTIFS(SCORES!$C$2:$C$2000,A20,SCORES!$B$2:$B$2000,"J",SCORES!$D$2:$D$2000,"&gt;=4")/COUNTIFS(SCORES!$C$2:$C$2000,A20,SCORES!$B$2:$B$2000,"J",SCORES!$D$2:$D$2000,"&gt;=0"),""))</f>
        <v/>
      </c>
      <c r="Q20" s="15" t="str">
        <f aca="false">IF(OR(O20="",P20=""),"",(O20-P20)*100)</f>
        <v/>
      </c>
    </row>
    <row r="21" customFormat="false" ht="15" hidden="false" customHeight="false" outlineLevel="0" collapsed="false">
      <c r="A21" s="7" t="str">
        <f aca="false" t="array" ref="A21:A21">IFERROR(INDEX(CHECKS!$A$2:$A$2000,SMALL(IF(CHECKS!$E$2:$E$2000="y",ROW(CHECKS!$E$2:$E$2000)-1),17)),"")</f>
        <v/>
      </c>
      <c r="B21" s="7" t="str">
        <f aca="false">IF(A21="","",INDEX(CHECKS!$C$2:$C$2000,MATCH(A21,CHECKS!$A$2:$A$2000,0)))</f>
        <v/>
      </c>
      <c r="C21" s="7" t="str">
        <f aca="false">IF(A21="","",SUMIFS(RECHECKS!$G$2:$G$2000,RECHECKS!$C$2:$C$2000,A21))</f>
        <v/>
      </c>
      <c r="D21" s="12" t="str">
        <f aca="false">IF(OR(A21="",C21=0),"",SUMIFS(RECHECKS!$F$2:$F$2000,RECHECKS!$C$2:$C$2000,A21,RECHECKS!$G$2:$G$2000,1)/(5*C21))</f>
        <v/>
      </c>
      <c r="E21" s="12" t="str">
        <f aca="false">IF(OR(A21="",C21=0),"",SUMIFS(RECHECKS!$D$2:$D$2000,RECHECKS!$C$2:$C$2000,A21,RECHECKS!$G$2:$G$2000,1)/(3*C21))</f>
        <v/>
      </c>
      <c r="F21" s="13" t="str">
        <f aca="false">IF(D21="","",(E21-D21)*100)</f>
        <v/>
      </c>
      <c r="G21" s="7" t="str">
        <f aca="false">IF(A21="","",INDEX(CHECKS!$F$2:$F$2000,MATCH(A21,CHECKS!$A$2:$A$2000,0))&amp;"")</f>
        <v/>
      </c>
      <c r="H21" s="7" t="str">
        <f aca="false">IF(OR(A21="",G21=""),"",SUMIFS(RECHECKS!$J$2:$J$2000,RECHECKS!$C$2:$C$2000,A21))</f>
        <v/>
      </c>
      <c r="I21" s="12" t="str">
        <f aca="false">IF(OR(H21="",H21=0),"",SUMIFS(RECHECKS!$I$2:$I$2000,RECHECKS!$C$2:$C$2000,A21,RECHECKS!$J$2:$J$2000,1)/(5*H21))</f>
        <v/>
      </c>
      <c r="J21" s="12" t="str">
        <f aca="false">IF(OR(H21="",H21=0),"",SUMIFS(RECHECKS!$E$2:$E$2000,RECHECKS!$C$2:$C$2000,A21,RECHECKS!$J$2:$J$2000,1)/(2*H21))</f>
        <v/>
      </c>
      <c r="K21" s="13" t="str">
        <f aca="false">IF(I21="","",(J21-I21)*100)</f>
        <v/>
      </c>
      <c r="L21" s="13" t="str">
        <f aca="false">IF(F21="","",IF(K21="",F21,F21-K21))</f>
        <v/>
      </c>
      <c r="M21" s="13" t="str">
        <f aca="false">IF(A21="","",(SUMIFS(SCORES!$D$2:$D$2000,SCORES!$C$2:$C$2000,A21)/(5*COUNTIFS(SCORES!$C$2:$C$2000,A21,SCORES!$D$2:$D$2000,"&gt;=0"))-SUMIFS(SCORES!$D$2:$D$2000,SCORES!$D$2:$D$2000,"&gt;=0")/(5*COUNTIFS(SCORES!$D$2:$D$2000,"&gt;=0")))*100)</f>
        <v/>
      </c>
      <c r="N21" s="13" t="str">
        <f aca="false">IF(B21="","",IFERROR(INDEX(UNITS!$E$2:$E$2000,MATCH(B21,UNITS!$A$2:$A$2000,0)),""))</f>
        <v/>
      </c>
      <c r="O21" s="12" t="str">
        <f aca="false">IF(A21="","",IFERROR(COUNTIFS(SCORES!$C$2:$C$2000,A21,SCORES!$B$2:$B$2000,"C",SCORES!$D$2:$D$2000,"&gt;=4")/COUNTIFS(SCORES!$C$2:$C$2000,A21,SCORES!$B$2:$B$2000,"C",SCORES!$D$2:$D$2000,"&gt;=0"),""))</f>
        <v/>
      </c>
      <c r="P21" s="12" t="str">
        <f aca="false">IF(A21="","",IFERROR(COUNTIFS(SCORES!$C$2:$C$2000,A21,SCORES!$B$2:$B$2000,"J",SCORES!$D$2:$D$2000,"&gt;=4")/COUNTIFS(SCORES!$C$2:$C$2000,A21,SCORES!$B$2:$B$2000,"J",SCORES!$D$2:$D$2000,"&gt;=0"),""))</f>
        <v/>
      </c>
      <c r="Q21" s="13" t="str">
        <f aca="false">IF(OR(O21="",P21=""),"",(O21-P21)*100)</f>
        <v/>
      </c>
    </row>
    <row r="22" customFormat="false" ht="15" hidden="false" customHeight="false" outlineLevel="0" collapsed="false">
      <c r="A22" s="10" t="str">
        <f aca="false" t="array" ref="A22:A22">IFERROR(INDEX(CHECKS!$A$2:$A$2000,SMALL(IF(CHECKS!$E$2:$E$2000="y",ROW(CHECKS!$E$2:$E$2000)-1),18)),"")</f>
        <v/>
      </c>
      <c r="B22" s="10" t="str">
        <f aca="false">IF(A22="","",INDEX(CHECKS!$C$2:$C$2000,MATCH(A22,CHECKS!$A$2:$A$2000,0)))</f>
        <v/>
      </c>
      <c r="C22" s="10" t="str">
        <f aca="false">IF(A22="","",SUMIFS(RECHECKS!$G$2:$G$2000,RECHECKS!$C$2:$C$2000,A22))</f>
        <v/>
      </c>
      <c r="D22" s="14" t="str">
        <f aca="false">IF(OR(A22="",C22=0),"",SUMIFS(RECHECKS!$F$2:$F$2000,RECHECKS!$C$2:$C$2000,A22,RECHECKS!$G$2:$G$2000,1)/(5*C22))</f>
        <v/>
      </c>
      <c r="E22" s="14" t="str">
        <f aca="false">IF(OR(A22="",C22=0),"",SUMIFS(RECHECKS!$D$2:$D$2000,RECHECKS!$C$2:$C$2000,A22,RECHECKS!$G$2:$G$2000,1)/(3*C22))</f>
        <v/>
      </c>
      <c r="F22" s="15" t="str">
        <f aca="false">IF(D22="","",(E22-D22)*100)</f>
        <v/>
      </c>
      <c r="G22" s="10" t="str">
        <f aca="false">IF(A22="","",INDEX(CHECKS!$F$2:$F$2000,MATCH(A22,CHECKS!$A$2:$A$2000,0))&amp;"")</f>
        <v/>
      </c>
      <c r="H22" s="10" t="str">
        <f aca="false">IF(OR(A22="",G22=""),"",SUMIFS(RECHECKS!$J$2:$J$2000,RECHECKS!$C$2:$C$2000,A22))</f>
        <v/>
      </c>
      <c r="I22" s="14" t="str">
        <f aca="false">IF(OR(H22="",H22=0),"",SUMIFS(RECHECKS!$I$2:$I$2000,RECHECKS!$C$2:$C$2000,A22,RECHECKS!$J$2:$J$2000,1)/(5*H22))</f>
        <v/>
      </c>
      <c r="J22" s="14" t="str">
        <f aca="false">IF(OR(H22="",H22=0),"",SUMIFS(RECHECKS!$E$2:$E$2000,RECHECKS!$C$2:$C$2000,A22,RECHECKS!$J$2:$J$2000,1)/(2*H22))</f>
        <v/>
      </c>
      <c r="K22" s="15" t="str">
        <f aca="false">IF(I22="","",(J22-I22)*100)</f>
        <v/>
      </c>
      <c r="L22" s="15" t="str">
        <f aca="false">IF(F22="","",IF(K22="",F22,F22-K22))</f>
        <v/>
      </c>
      <c r="M22" s="15" t="str">
        <f aca="false">IF(A22="","",(SUMIFS(SCORES!$D$2:$D$2000,SCORES!$C$2:$C$2000,A22)/(5*COUNTIFS(SCORES!$C$2:$C$2000,A22,SCORES!$D$2:$D$2000,"&gt;=0"))-SUMIFS(SCORES!$D$2:$D$2000,SCORES!$D$2:$D$2000,"&gt;=0")/(5*COUNTIFS(SCORES!$D$2:$D$2000,"&gt;=0")))*100)</f>
        <v/>
      </c>
      <c r="N22" s="15" t="str">
        <f aca="false">IF(B22="","",IFERROR(INDEX(UNITS!$E$2:$E$2000,MATCH(B22,UNITS!$A$2:$A$2000,0)),""))</f>
        <v/>
      </c>
      <c r="O22" s="14" t="str">
        <f aca="false">IF(A22="","",IFERROR(COUNTIFS(SCORES!$C$2:$C$2000,A22,SCORES!$B$2:$B$2000,"C",SCORES!$D$2:$D$2000,"&gt;=4")/COUNTIFS(SCORES!$C$2:$C$2000,A22,SCORES!$B$2:$B$2000,"C",SCORES!$D$2:$D$2000,"&gt;=0"),""))</f>
        <v/>
      </c>
      <c r="P22" s="14" t="str">
        <f aca="false">IF(A22="","",IFERROR(COUNTIFS(SCORES!$C$2:$C$2000,A22,SCORES!$B$2:$B$2000,"J",SCORES!$D$2:$D$2000,"&gt;=4")/COUNTIFS(SCORES!$C$2:$C$2000,A22,SCORES!$B$2:$B$2000,"J",SCORES!$D$2:$D$2000,"&gt;=0"),""))</f>
        <v/>
      </c>
      <c r="Q22" s="15" t="str">
        <f aca="false">IF(OR(O22="",P22=""),"",(O22-P22)*100)</f>
        <v/>
      </c>
    </row>
    <row r="23" customFormat="false" ht="15" hidden="false" customHeight="false" outlineLevel="0" collapsed="false">
      <c r="A23" s="7" t="str">
        <f aca="false" t="array" ref="A23:A23">IFERROR(INDEX(CHECKS!$A$2:$A$2000,SMALL(IF(CHECKS!$E$2:$E$2000="y",ROW(CHECKS!$E$2:$E$2000)-1),19)),"")</f>
        <v/>
      </c>
      <c r="B23" s="7" t="str">
        <f aca="false">IF(A23="","",INDEX(CHECKS!$C$2:$C$2000,MATCH(A23,CHECKS!$A$2:$A$2000,0)))</f>
        <v/>
      </c>
      <c r="C23" s="7" t="str">
        <f aca="false">IF(A23="","",SUMIFS(RECHECKS!$G$2:$G$2000,RECHECKS!$C$2:$C$2000,A23))</f>
        <v/>
      </c>
      <c r="D23" s="12" t="str">
        <f aca="false">IF(OR(A23="",C23=0),"",SUMIFS(RECHECKS!$F$2:$F$2000,RECHECKS!$C$2:$C$2000,A23,RECHECKS!$G$2:$G$2000,1)/(5*C23))</f>
        <v/>
      </c>
      <c r="E23" s="12" t="str">
        <f aca="false">IF(OR(A23="",C23=0),"",SUMIFS(RECHECKS!$D$2:$D$2000,RECHECKS!$C$2:$C$2000,A23,RECHECKS!$G$2:$G$2000,1)/(3*C23))</f>
        <v/>
      </c>
      <c r="F23" s="13" t="str">
        <f aca="false">IF(D23="","",(E23-D23)*100)</f>
        <v/>
      </c>
      <c r="G23" s="7" t="str">
        <f aca="false">IF(A23="","",INDEX(CHECKS!$F$2:$F$2000,MATCH(A23,CHECKS!$A$2:$A$2000,0))&amp;"")</f>
        <v/>
      </c>
      <c r="H23" s="7" t="str">
        <f aca="false">IF(OR(A23="",G23=""),"",SUMIFS(RECHECKS!$J$2:$J$2000,RECHECKS!$C$2:$C$2000,A23))</f>
        <v/>
      </c>
      <c r="I23" s="12" t="str">
        <f aca="false">IF(OR(H23="",H23=0),"",SUMIFS(RECHECKS!$I$2:$I$2000,RECHECKS!$C$2:$C$2000,A23,RECHECKS!$J$2:$J$2000,1)/(5*H23))</f>
        <v/>
      </c>
      <c r="J23" s="12" t="str">
        <f aca="false">IF(OR(H23="",H23=0),"",SUMIFS(RECHECKS!$E$2:$E$2000,RECHECKS!$C$2:$C$2000,A23,RECHECKS!$J$2:$J$2000,1)/(2*H23))</f>
        <v/>
      </c>
      <c r="K23" s="13" t="str">
        <f aca="false">IF(I23="","",(J23-I23)*100)</f>
        <v/>
      </c>
      <c r="L23" s="13" t="str">
        <f aca="false">IF(F23="","",IF(K23="",F23,F23-K23))</f>
        <v/>
      </c>
      <c r="M23" s="13" t="str">
        <f aca="false">IF(A23="","",(SUMIFS(SCORES!$D$2:$D$2000,SCORES!$C$2:$C$2000,A23)/(5*COUNTIFS(SCORES!$C$2:$C$2000,A23,SCORES!$D$2:$D$2000,"&gt;=0"))-SUMIFS(SCORES!$D$2:$D$2000,SCORES!$D$2:$D$2000,"&gt;=0")/(5*COUNTIFS(SCORES!$D$2:$D$2000,"&gt;=0")))*100)</f>
        <v/>
      </c>
      <c r="N23" s="13" t="str">
        <f aca="false">IF(B23="","",IFERROR(INDEX(UNITS!$E$2:$E$2000,MATCH(B23,UNITS!$A$2:$A$2000,0)),""))</f>
        <v/>
      </c>
      <c r="O23" s="12" t="str">
        <f aca="false">IF(A23="","",IFERROR(COUNTIFS(SCORES!$C$2:$C$2000,A23,SCORES!$B$2:$B$2000,"C",SCORES!$D$2:$D$2000,"&gt;=4")/COUNTIFS(SCORES!$C$2:$C$2000,A23,SCORES!$B$2:$B$2000,"C",SCORES!$D$2:$D$2000,"&gt;=0"),""))</f>
        <v/>
      </c>
      <c r="P23" s="12" t="str">
        <f aca="false">IF(A23="","",IFERROR(COUNTIFS(SCORES!$C$2:$C$2000,A23,SCORES!$B$2:$B$2000,"J",SCORES!$D$2:$D$2000,"&gt;=4")/COUNTIFS(SCORES!$C$2:$C$2000,A23,SCORES!$B$2:$B$2000,"J",SCORES!$D$2:$D$2000,"&gt;=0"),""))</f>
        <v/>
      </c>
      <c r="Q23" s="13" t="str">
        <f aca="false">IF(OR(O23="",P23=""),"",(O23-P23)*100)</f>
        <v/>
      </c>
    </row>
    <row r="24" customFormat="false" ht="15" hidden="false" customHeight="false" outlineLevel="0" collapsed="false">
      <c r="A24" s="10" t="str">
        <f aca="false" t="array" ref="A24:A24">IFERROR(INDEX(CHECKS!$A$2:$A$2000,SMALL(IF(CHECKS!$E$2:$E$2000="y",ROW(CHECKS!$E$2:$E$2000)-1),20)),"")</f>
        <v/>
      </c>
      <c r="B24" s="10" t="str">
        <f aca="false">IF(A24="","",INDEX(CHECKS!$C$2:$C$2000,MATCH(A24,CHECKS!$A$2:$A$2000,0)))</f>
        <v/>
      </c>
      <c r="C24" s="10" t="str">
        <f aca="false">IF(A24="","",SUMIFS(RECHECKS!$G$2:$G$2000,RECHECKS!$C$2:$C$2000,A24))</f>
        <v/>
      </c>
      <c r="D24" s="14" t="str">
        <f aca="false">IF(OR(A24="",C24=0),"",SUMIFS(RECHECKS!$F$2:$F$2000,RECHECKS!$C$2:$C$2000,A24,RECHECKS!$G$2:$G$2000,1)/(5*C24))</f>
        <v/>
      </c>
      <c r="E24" s="14" t="str">
        <f aca="false">IF(OR(A24="",C24=0),"",SUMIFS(RECHECKS!$D$2:$D$2000,RECHECKS!$C$2:$C$2000,A24,RECHECKS!$G$2:$G$2000,1)/(3*C24))</f>
        <v/>
      </c>
      <c r="F24" s="15" t="str">
        <f aca="false">IF(D24="","",(E24-D24)*100)</f>
        <v/>
      </c>
      <c r="G24" s="10" t="str">
        <f aca="false">IF(A24="","",INDEX(CHECKS!$F$2:$F$2000,MATCH(A24,CHECKS!$A$2:$A$2000,0))&amp;"")</f>
        <v/>
      </c>
      <c r="H24" s="10" t="str">
        <f aca="false">IF(OR(A24="",G24=""),"",SUMIFS(RECHECKS!$J$2:$J$2000,RECHECKS!$C$2:$C$2000,A24))</f>
        <v/>
      </c>
      <c r="I24" s="14" t="str">
        <f aca="false">IF(OR(H24="",H24=0),"",SUMIFS(RECHECKS!$I$2:$I$2000,RECHECKS!$C$2:$C$2000,A24,RECHECKS!$J$2:$J$2000,1)/(5*H24))</f>
        <v/>
      </c>
      <c r="J24" s="14" t="str">
        <f aca="false">IF(OR(H24="",H24=0),"",SUMIFS(RECHECKS!$E$2:$E$2000,RECHECKS!$C$2:$C$2000,A24,RECHECKS!$J$2:$J$2000,1)/(2*H24))</f>
        <v/>
      </c>
      <c r="K24" s="15" t="str">
        <f aca="false">IF(I24="","",(J24-I24)*100)</f>
        <v/>
      </c>
      <c r="L24" s="15" t="str">
        <f aca="false">IF(F24="","",IF(K24="",F24,F24-K24))</f>
        <v/>
      </c>
      <c r="M24" s="15" t="str">
        <f aca="false">IF(A24="","",(SUMIFS(SCORES!$D$2:$D$2000,SCORES!$C$2:$C$2000,A24)/(5*COUNTIFS(SCORES!$C$2:$C$2000,A24,SCORES!$D$2:$D$2000,"&gt;=0"))-SUMIFS(SCORES!$D$2:$D$2000,SCORES!$D$2:$D$2000,"&gt;=0")/(5*COUNTIFS(SCORES!$D$2:$D$2000,"&gt;=0")))*100)</f>
        <v/>
      </c>
      <c r="N24" s="15" t="str">
        <f aca="false">IF(B24="","",IFERROR(INDEX(UNITS!$E$2:$E$2000,MATCH(B24,UNITS!$A$2:$A$2000,0)),""))</f>
        <v/>
      </c>
      <c r="O24" s="14" t="str">
        <f aca="false">IF(A24="","",IFERROR(COUNTIFS(SCORES!$C$2:$C$2000,A24,SCORES!$B$2:$B$2000,"C",SCORES!$D$2:$D$2000,"&gt;=4")/COUNTIFS(SCORES!$C$2:$C$2000,A24,SCORES!$B$2:$B$2000,"C",SCORES!$D$2:$D$2000,"&gt;=0"),""))</f>
        <v/>
      </c>
      <c r="P24" s="14" t="str">
        <f aca="false">IF(A24="","",IFERROR(COUNTIFS(SCORES!$C$2:$C$2000,A24,SCORES!$B$2:$B$2000,"J",SCORES!$D$2:$D$2000,"&gt;=4")/COUNTIFS(SCORES!$C$2:$C$2000,A24,SCORES!$B$2:$B$2000,"J",SCORES!$D$2:$D$2000,"&gt;=0"),""))</f>
        <v/>
      </c>
      <c r="Q24" s="15" t="str">
        <f aca="false">IF(OR(O24="",P24=""),"",(O24-P24)*100)</f>
        <v/>
      </c>
    </row>
    <row r="25" customFormat="false" ht="15" hidden="false" customHeight="false" outlineLevel="0" collapsed="false">
      <c r="A25" s="7" t="str">
        <f aca="false" t="array" ref="A25:A25">IFERROR(INDEX(CHECKS!$A$2:$A$2000,SMALL(IF(CHECKS!$E$2:$E$2000="y",ROW(CHECKS!$E$2:$E$2000)-1),21)),"")</f>
        <v/>
      </c>
      <c r="B25" s="7" t="str">
        <f aca="false">IF(A25="","",INDEX(CHECKS!$C$2:$C$2000,MATCH(A25,CHECKS!$A$2:$A$2000,0)))</f>
        <v/>
      </c>
      <c r="C25" s="7" t="str">
        <f aca="false">IF(A25="","",SUMIFS(RECHECKS!$G$2:$G$2000,RECHECKS!$C$2:$C$2000,A25))</f>
        <v/>
      </c>
      <c r="D25" s="12" t="str">
        <f aca="false">IF(OR(A25="",C25=0),"",SUMIFS(RECHECKS!$F$2:$F$2000,RECHECKS!$C$2:$C$2000,A25,RECHECKS!$G$2:$G$2000,1)/(5*C25))</f>
        <v/>
      </c>
      <c r="E25" s="12" t="str">
        <f aca="false">IF(OR(A25="",C25=0),"",SUMIFS(RECHECKS!$D$2:$D$2000,RECHECKS!$C$2:$C$2000,A25,RECHECKS!$G$2:$G$2000,1)/(3*C25))</f>
        <v/>
      </c>
      <c r="F25" s="13" t="str">
        <f aca="false">IF(D25="","",(E25-D25)*100)</f>
        <v/>
      </c>
      <c r="G25" s="7" t="str">
        <f aca="false">IF(A25="","",INDEX(CHECKS!$F$2:$F$2000,MATCH(A25,CHECKS!$A$2:$A$2000,0))&amp;"")</f>
        <v/>
      </c>
      <c r="H25" s="7" t="str">
        <f aca="false">IF(OR(A25="",G25=""),"",SUMIFS(RECHECKS!$J$2:$J$2000,RECHECKS!$C$2:$C$2000,A25))</f>
        <v/>
      </c>
      <c r="I25" s="12" t="str">
        <f aca="false">IF(OR(H25="",H25=0),"",SUMIFS(RECHECKS!$I$2:$I$2000,RECHECKS!$C$2:$C$2000,A25,RECHECKS!$J$2:$J$2000,1)/(5*H25))</f>
        <v/>
      </c>
      <c r="J25" s="12" t="str">
        <f aca="false">IF(OR(H25="",H25=0),"",SUMIFS(RECHECKS!$E$2:$E$2000,RECHECKS!$C$2:$C$2000,A25,RECHECKS!$J$2:$J$2000,1)/(2*H25))</f>
        <v/>
      </c>
      <c r="K25" s="13" t="str">
        <f aca="false">IF(I25="","",(J25-I25)*100)</f>
        <v/>
      </c>
      <c r="L25" s="13" t="str">
        <f aca="false">IF(F25="","",IF(K25="",F25,F25-K25))</f>
        <v/>
      </c>
      <c r="M25" s="13" t="str">
        <f aca="false">IF(A25="","",(SUMIFS(SCORES!$D$2:$D$2000,SCORES!$C$2:$C$2000,A25)/(5*COUNTIFS(SCORES!$C$2:$C$2000,A25,SCORES!$D$2:$D$2000,"&gt;=0"))-SUMIFS(SCORES!$D$2:$D$2000,SCORES!$D$2:$D$2000,"&gt;=0")/(5*COUNTIFS(SCORES!$D$2:$D$2000,"&gt;=0")))*100)</f>
        <v/>
      </c>
      <c r="N25" s="13" t="str">
        <f aca="false">IF(B25="","",IFERROR(INDEX(UNITS!$E$2:$E$2000,MATCH(B25,UNITS!$A$2:$A$2000,0)),""))</f>
        <v/>
      </c>
      <c r="O25" s="12" t="str">
        <f aca="false">IF(A25="","",IFERROR(COUNTIFS(SCORES!$C$2:$C$2000,A25,SCORES!$B$2:$B$2000,"C",SCORES!$D$2:$D$2000,"&gt;=4")/COUNTIFS(SCORES!$C$2:$C$2000,A25,SCORES!$B$2:$B$2000,"C",SCORES!$D$2:$D$2000,"&gt;=0"),""))</f>
        <v/>
      </c>
      <c r="P25" s="12" t="str">
        <f aca="false">IF(A25="","",IFERROR(COUNTIFS(SCORES!$C$2:$C$2000,A25,SCORES!$B$2:$B$2000,"J",SCORES!$D$2:$D$2000,"&gt;=4")/COUNTIFS(SCORES!$C$2:$C$2000,A25,SCORES!$B$2:$B$2000,"J",SCORES!$D$2:$D$2000,"&gt;=0"),""))</f>
        <v/>
      </c>
      <c r="Q25" s="13" t="str">
        <f aca="false">IF(OR(O25="",P25=""),"",(O25-P25)*100)</f>
        <v/>
      </c>
    </row>
    <row r="26" customFormat="false" ht="15" hidden="false" customHeight="false" outlineLevel="0" collapsed="false">
      <c r="A26" s="10" t="str">
        <f aca="false" t="array" ref="A26:A26">IFERROR(INDEX(CHECKS!$A$2:$A$2000,SMALL(IF(CHECKS!$E$2:$E$2000="y",ROW(CHECKS!$E$2:$E$2000)-1),22)),"")</f>
        <v/>
      </c>
      <c r="B26" s="10" t="str">
        <f aca="false">IF(A26="","",INDEX(CHECKS!$C$2:$C$2000,MATCH(A26,CHECKS!$A$2:$A$2000,0)))</f>
        <v/>
      </c>
      <c r="C26" s="10" t="str">
        <f aca="false">IF(A26="","",SUMIFS(RECHECKS!$G$2:$G$2000,RECHECKS!$C$2:$C$2000,A26))</f>
        <v/>
      </c>
      <c r="D26" s="14" t="str">
        <f aca="false">IF(OR(A26="",C26=0),"",SUMIFS(RECHECKS!$F$2:$F$2000,RECHECKS!$C$2:$C$2000,A26,RECHECKS!$G$2:$G$2000,1)/(5*C26))</f>
        <v/>
      </c>
      <c r="E26" s="14" t="str">
        <f aca="false">IF(OR(A26="",C26=0),"",SUMIFS(RECHECKS!$D$2:$D$2000,RECHECKS!$C$2:$C$2000,A26,RECHECKS!$G$2:$G$2000,1)/(3*C26))</f>
        <v/>
      </c>
      <c r="F26" s="15" t="str">
        <f aca="false">IF(D26="","",(E26-D26)*100)</f>
        <v/>
      </c>
      <c r="G26" s="10" t="str">
        <f aca="false">IF(A26="","",INDEX(CHECKS!$F$2:$F$2000,MATCH(A26,CHECKS!$A$2:$A$2000,0))&amp;"")</f>
        <v/>
      </c>
      <c r="H26" s="10" t="str">
        <f aca="false">IF(OR(A26="",G26=""),"",SUMIFS(RECHECKS!$J$2:$J$2000,RECHECKS!$C$2:$C$2000,A26))</f>
        <v/>
      </c>
      <c r="I26" s="14" t="str">
        <f aca="false">IF(OR(H26="",H26=0),"",SUMIFS(RECHECKS!$I$2:$I$2000,RECHECKS!$C$2:$C$2000,A26,RECHECKS!$J$2:$J$2000,1)/(5*H26))</f>
        <v/>
      </c>
      <c r="J26" s="14" t="str">
        <f aca="false">IF(OR(H26="",H26=0),"",SUMIFS(RECHECKS!$E$2:$E$2000,RECHECKS!$C$2:$C$2000,A26,RECHECKS!$J$2:$J$2000,1)/(2*H26))</f>
        <v/>
      </c>
      <c r="K26" s="15" t="str">
        <f aca="false">IF(I26="","",(J26-I26)*100)</f>
        <v/>
      </c>
      <c r="L26" s="15" t="str">
        <f aca="false">IF(F26="","",IF(K26="",F26,F26-K26))</f>
        <v/>
      </c>
      <c r="M26" s="15" t="str">
        <f aca="false">IF(A26="","",(SUMIFS(SCORES!$D$2:$D$2000,SCORES!$C$2:$C$2000,A26)/(5*COUNTIFS(SCORES!$C$2:$C$2000,A26,SCORES!$D$2:$D$2000,"&gt;=0"))-SUMIFS(SCORES!$D$2:$D$2000,SCORES!$D$2:$D$2000,"&gt;=0")/(5*COUNTIFS(SCORES!$D$2:$D$2000,"&gt;=0")))*100)</f>
        <v/>
      </c>
      <c r="N26" s="15" t="str">
        <f aca="false">IF(B26="","",IFERROR(INDEX(UNITS!$E$2:$E$2000,MATCH(B26,UNITS!$A$2:$A$2000,0)),""))</f>
        <v/>
      </c>
      <c r="O26" s="14" t="str">
        <f aca="false">IF(A26="","",IFERROR(COUNTIFS(SCORES!$C$2:$C$2000,A26,SCORES!$B$2:$B$2000,"C",SCORES!$D$2:$D$2000,"&gt;=4")/COUNTIFS(SCORES!$C$2:$C$2000,A26,SCORES!$B$2:$B$2000,"C",SCORES!$D$2:$D$2000,"&gt;=0"),""))</f>
        <v/>
      </c>
      <c r="P26" s="14" t="str">
        <f aca="false">IF(A26="","",IFERROR(COUNTIFS(SCORES!$C$2:$C$2000,A26,SCORES!$B$2:$B$2000,"J",SCORES!$D$2:$D$2000,"&gt;=4")/COUNTIFS(SCORES!$C$2:$C$2000,A26,SCORES!$B$2:$B$2000,"J",SCORES!$D$2:$D$2000,"&gt;=0"),""))</f>
        <v/>
      </c>
      <c r="Q26" s="15" t="str">
        <f aca="false">IF(OR(O26="",P26=""),"",(O26-P26)*100)</f>
        <v/>
      </c>
    </row>
    <row r="27" customFormat="false" ht="15" hidden="false" customHeight="false" outlineLevel="0" collapsed="false">
      <c r="A27" s="7" t="str">
        <f aca="false" t="array" ref="A27:A27">IFERROR(INDEX(CHECKS!$A$2:$A$2000,SMALL(IF(CHECKS!$E$2:$E$2000="y",ROW(CHECKS!$E$2:$E$2000)-1),23)),"")</f>
        <v/>
      </c>
      <c r="B27" s="7" t="str">
        <f aca="false">IF(A27="","",INDEX(CHECKS!$C$2:$C$2000,MATCH(A27,CHECKS!$A$2:$A$2000,0)))</f>
        <v/>
      </c>
      <c r="C27" s="7" t="str">
        <f aca="false">IF(A27="","",SUMIFS(RECHECKS!$G$2:$G$2000,RECHECKS!$C$2:$C$2000,A27))</f>
        <v/>
      </c>
      <c r="D27" s="12" t="str">
        <f aca="false">IF(OR(A27="",C27=0),"",SUMIFS(RECHECKS!$F$2:$F$2000,RECHECKS!$C$2:$C$2000,A27,RECHECKS!$G$2:$G$2000,1)/(5*C27))</f>
        <v/>
      </c>
      <c r="E27" s="12" t="str">
        <f aca="false">IF(OR(A27="",C27=0),"",SUMIFS(RECHECKS!$D$2:$D$2000,RECHECKS!$C$2:$C$2000,A27,RECHECKS!$G$2:$G$2000,1)/(3*C27))</f>
        <v/>
      </c>
      <c r="F27" s="13" t="str">
        <f aca="false">IF(D27="","",(E27-D27)*100)</f>
        <v/>
      </c>
      <c r="G27" s="7" t="str">
        <f aca="false">IF(A27="","",INDEX(CHECKS!$F$2:$F$2000,MATCH(A27,CHECKS!$A$2:$A$2000,0))&amp;"")</f>
        <v/>
      </c>
      <c r="H27" s="7" t="str">
        <f aca="false">IF(OR(A27="",G27=""),"",SUMIFS(RECHECKS!$J$2:$J$2000,RECHECKS!$C$2:$C$2000,A27))</f>
        <v/>
      </c>
      <c r="I27" s="12" t="str">
        <f aca="false">IF(OR(H27="",H27=0),"",SUMIFS(RECHECKS!$I$2:$I$2000,RECHECKS!$C$2:$C$2000,A27,RECHECKS!$J$2:$J$2000,1)/(5*H27))</f>
        <v/>
      </c>
      <c r="J27" s="12" t="str">
        <f aca="false">IF(OR(H27="",H27=0),"",SUMIFS(RECHECKS!$E$2:$E$2000,RECHECKS!$C$2:$C$2000,A27,RECHECKS!$J$2:$J$2000,1)/(2*H27))</f>
        <v/>
      </c>
      <c r="K27" s="13" t="str">
        <f aca="false">IF(I27="","",(J27-I27)*100)</f>
        <v/>
      </c>
      <c r="L27" s="13" t="str">
        <f aca="false">IF(F27="","",IF(K27="",F27,F27-K27))</f>
        <v/>
      </c>
      <c r="M27" s="13" t="str">
        <f aca="false">IF(A27="","",(SUMIFS(SCORES!$D$2:$D$2000,SCORES!$C$2:$C$2000,A27)/(5*COUNTIFS(SCORES!$C$2:$C$2000,A27,SCORES!$D$2:$D$2000,"&gt;=0"))-SUMIFS(SCORES!$D$2:$D$2000,SCORES!$D$2:$D$2000,"&gt;=0")/(5*COUNTIFS(SCORES!$D$2:$D$2000,"&gt;=0")))*100)</f>
        <v/>
      </c>
      <c r="N27" s="13" t="str">
        <f aca="false">IF(B27="","",IFERROR(INDEX(UNITS!$E$2:$E$2000,MATCH(B27,UNITS!$A$2:$A$2000,0)),""))</f>
        <v/>
      </c>
      <c r="O27" s="12" t="str">
        <f aca="false">IF(A27="","",IFERROR(COUNTIFS(SCORES!$C$2:$C$2000,A27,SCORES!$B$2:$B$2000,"C",SCORES!$D$2:$D$2000,"&gt;=4")/COUNTIFS(SCORES!$C$2:$C$2000,A27,SCORES!$B$2:$B$2000,"C",SCORES!$D$2:$D$2000,"&gt;=0"),""))</f>
        <v/>
      </c>
      <c r="P27" s="12" t="str">
        <f aca="false">IF(A27="","",IFERROR(COUNTIFS(SCORES!$C$2:$C$2000,A27,SCORES!$B$2:$B$2000,"J",SCORES!$D$2:$D$2000,"&gt;=4")/COUNTIFS(SCORES!$C$2:$C$2000,A27,SCORES!$B$2:$B$2000,"J",SCORES!$D$2:$D$2000,"&gt;=0"),""))</f>
        <v/>
      </c>
      <c r="Q27" s="13" t="str">
        <f aca="false">IF(OR(O27="",P27=""),"",(O27-P27)*100)</f>
        <v/>
      </c>
    </row>
    <row r="28" customFormat="false" ht="15" hidden="false" customHeight="false" outlineLevel="0" collapsed="false">
      <c r="A28" s="10" t="str">
        <f aca="false" t="array" ref="A28:A28">IFERROR(INDEX(CHECKS!$A$2:$A$2000,SMALL(IF(CHECKS!$E$2:$E$2000="y",ROW(CHECKS!$E$2:$E$2000)-1),24)),"")</f>
        <v/>
      </c>
      <c r="B28" s="10" t="str">
        <f aca="false">IF(A28="","",INDEX(CHECKS!$C$2:$C$2000,MATCH(A28,CHECKS!$A$2:$A$2000,0)))</f>
        <v/>
      </c>
      <c r="C28" s="10" t="str">
        <f aca="false">IF(A28="","",SUMIFS(RECHECKS!$G$2:$G$2000,RECHECKS!$C$2:$C$2000,A28))</f>
        <v/>
      </c>
      <c r="D28" s="14" t="str">
        <f aca="false">IF(OR(A28="",C28=0),"",SUMIFS(RECHECKS!$F$2:$F$2000,RECHECKS!$C$2:$C$2000,A28,RECHECKS!$G$2:$G$2000,1)/(5*C28))</f>
        <v/>
      </c>
      <c r="E28" s="14" t="str">
        <f aca="false">IF(OR(A28="",C28=0),"",SUMIFS(RECHECKS!$D$2:$D$2000,RECHECKS!$C$2:$C$2000,A28,RECHECKS!$G$2:$G$2000,1)/(3*C28))</f>
        <v/>
      </c>
      <c r="F28" s="15" t="str">
        <f aca="false">IF(D28="","",(E28-D28)*100)</f>
        <v/>
      </c>
      <c r="G28" s="10" t="str">
        <f aca="false">IF(A28="","",INDEX(CHECKS!$F$2:$F$2000,MATCH(A28,CHECKS!$A$2:$A$2000,0))&amp;"")</f>
        <v/>
      </c>
      <c r="H28" s="10" t="str">
        <f aca="false">IF(OR(A28="",G28=""),"",SUMIFS(RECHECKS!$J$2:$J$2000,RECHECKS!$C$2:$C$2000,A28))</f>
        <v/>
      </c>
      <c r="I28" s="14" t="str">
        <f aca="false">IF(OR(H28="",H28=0),"",SUMIFS(RECHECKS!$I$2:$I$2000,RECHECKS!$C$2:$C$2000,A28,RECHECKS!$J$2:$J$2000,1)/(5*H28))</f>
        <v/>
      </c>
      <c r="J28" s="14" t="str">
        <f aca="false">IF(OR(H28="",H28=0),"",SUMIFS(RECHECKS!$E$2:$E$2000,RECHECKS!$C$2:$C$2000,A28,RECHECKS!$J$2:$J$2000,1)/(2*H28))</f>
        <v/>
      </c>
      <c r="K28" s="15" t="str">
        <f aca="false">IF(I28="","",(J28-I28)*100)</f>
        <v/>
      </c>
      <c r="L28" s="15" t="str">
        <f aca="false">IF(F28="","",IF(K28="",F28,F28-K28))</f>
        <v/>
      </c>
      <c r="M28" s="15" t="str">
        <f aca="false">IF(A28="","",(SUMIFS(SCORES!$D$2:$D$2000,SCORES!$C$2:$C$2000,A28)/(5*COUNTIFS(SCORES!$C$2:$C$2000,A28,SCORES!$D$2:$D$2000,"&gt;=0"))-SUMIFS(SCORES!$D$2:$D$2000,SCORES!$D$2:$D$2000,"&gt;=0")/(5*COUNTIFS(SCORES!$D$2:$D$2000,"&gt;=0")))*100)</f>
        <v/>
      </c>
      <c r="N28" s="15" t="str">
        <f aca="false">IF(B28="","",IFERROR(INDEX(UNITS!$E$2:$E$2000,MATCH(B28,UNITS!$A$2:$A$2000,0)),""))</f>
        <v/>
      </c>
      <c r="O28" s="14" t="str">
        <f aca="false">IF(A28="","",IFERROR(COUNTIFS(SCORES!$C$2:$C$2000,A28,SCORES!$B$2:$B$2000,"C",SCORES!$D$2:$D$2000,"&gt;=4")/COUNTIFS(SCORES!$C$2:$C$2000,A28,SCORES!$B$2:$B$2000,"C",SCORES!$D$2:$D$2000,"&gt;=0"),""))</f>
        <v/>
      </c>
      <c r="P28" s="14" t="str">
        <f aca="false">IF(A28="","",IFERROR(COUNTIFS(SCORES!$C$2:$C$2000,A28,SCORES!$B$2:$B$2000,"J",SCORES!$D$2:$D$2000,"&gt;=4")/COUNTIFS(SCORES!$C$2:$C$2000,A28,SCORES!$B$2:$B$2000,"J",SCORES!$D$2:$D$2000,"&gt;=0"),""))</f>
        <v/>
      </c>
      <c r="Q28" s="15" t="str">
        <f aca="false">IF(OR(O28="",P28=""),"",(O28-P28)*100)</f>
        <v/>
      </c>
    </row>
    <row r="29" customFormat="false" ht="15" hidden="false" customHeight="false" outlineLevel="0" collapsed="false">
      <c r="A29" s="7" t="str">
        <f aca="false" t="array" ref="A29:A29">IFERROR(INDEX(CHECKS!$A$2:$A$2000,SMALL(IF(CHECKS!$E$2:$E$2000="y",ROW(CHECKS!$E$2:$E$2000)-1),25)),"")</f>
        <v/>
      </c>
      <c r="B29" s="7" t="str">
        <f aca="false">IF(A29="","",INDEX(CHECKS!$C$2:$C$2000,MATCH(A29,CHECKS!$A$2:$A$2000,0)))</f>
        <v/>
      </c>
      <c r="C29" s="7" t="str">
        <f aca="false">IF(A29="","",SUMIFS(RECHECKS!$G$2:$G$2000,RECHECKS!$C$2:$C$2000,A29))</f>
        <v/>
      </c>
      <c r="D29" s="12" t="str">
        <f aca="false">IF(OR(A29="",C29=0),"",SUMIFS(RECHECKS!$F$2:$F$2000,RECHECKS!$C$2:$C$2000,A29,RECHECKS!$G$2:$G$2000,1)/(5*C29))</f>
        <v/>
      </c>
      <c r="E29" s="12" t="str">
        <f aca="false">IF(OR(A29="",C29=0),"",SUMIFS(RECHECKS!$D$2:$D$2000,RECHECKS!$C$2:$C$2000,A29,RECHECKS!$G$2:$G$2000,1)/(3*C29))</f>
        <v/>
      </c>
      <c r="F29" s="13" t="str">
        <f aca="false">IF(D29="","",(E29-D29)*100)</f>
        <v/>
      </c>
      <c r="G29" s="7" t="str">
        <f aca="false">IF(A29="","",INDEX(CHECKS!$F$2:$F$2000,MATCH(A29,CHECKS!$A$2:$A$2000,0))&amp;"")</f>
        <v/>
      </c>
      <c r="H29" s="7" t="str">
        <f aca="false">IF(OR(A29="",G29=""),"",SUMIFS(RECHECKS!$J$2:$J$2000,RECHECKS!$C$2:$C$2000,A29))</f>
        <v/>
      </c>
      <c r="I29" s="12" t="str">
        <f aca="false">IF(OR(H29="",H29=0),"",SUMIFS(RECHECKS!$I$2:$I$2000,RECHECKS!$C$2:$C$2000,A29,RECHECKS!$J$2:$J$2000,1)/(5*H29))</f>
        <v/>
      </c>
      <c r="J29" s="12" t="str">
        <f aca="false">IF(OR(H29="",H29=0),"",SUMIFS(RECHECKS!$E$2:$E$2000,RECHECKS!$C$2:$C$2000,A29,RECHECKS!$J$2:$J$2000,1)/(2*H29))</f>
        <v/>
      </c>
      <c r="K29" s="13" t="str">
        <f aca="false">IF(I29="","",(J29-I29)*100)</f>
        <v/>
      </c>
      <c r="L29" s="13" t="str">
        <f aca="false">IF(F29="","",IF(K29="",F29,F29-K29))</f>
        <v/>
      </c>
      <c r="M29" s="13" t="str">
        <f aca="false">IF(A29="","",(SUMIFS(SCORES!$D$2:$D$2000,SCORES!$C$2:$C$2000,A29)/(5*COUNTIFS(SCORES!$C$2:$C$2000,A29,SCORES!$D$2:$D$2000,"&gt;=0"))-SUMIFS(SCORES!$D$2:$D$2000,SCORES!$D$2:$D$2000,"&gt;=0")/(5*COUNTIFS(SCORES!$D$2:$D$2000,"&gt;=0")))*100)</f>
        <v/>
      </c>
      <c r="N29" s="13" t="str">
        <f aca="false">IF(B29="","",IFERROR(INDEX(UNITS!$E$2:$E$2000,MATCH(B29,UNITS!$A$2:$A$2000,0)),""))</f>
        <v/>
      </c>
      <c r="O29" s="12" t="str">
        <f aca="false">IF(A29="","",IFERROR(COUNTIFS(SCORES!$C$2:$C$2000,A29,SCORES!$B$2:$B$2000,"C",SCORES!$D$2:$D$2000,"&gt;=4")/COUNTIFS(SCORES!$C$2:$C$2000,A29,SCORES!$B$2:$B$2000,"C",SCORES!$D$2:$D$2000,"&gt;=0"),""))</f>
        <v/>
      </c>
      <c r="P29" s="12" t="str">
        <f aca="false">IF(A29="","",IFERROR(COUNTIFS(SCORES!$C$2:$C$2000,A29,SCORES!$B$2:$B$2000,"J",SCORES!$D$2:$D$2000,"&gt;=4")/COUNTIFS(SCORES!$C$2:$C$2000,A29,SCORES!$B$2:$B$2000,"J",SCORES!$D$2:$D$2000,"&gt;=0"),""))</f>
        <v/>
      </c>
      <c r="Q29" s="13" t="str">
        <f aca="false">IF(OR(O29="",P29=""),"",(O29-P29)*100)</f>
        <v/>
      </c>
    </row>
    <row r="30" customFormat="false" ht="15" hidden="false" customHeight="false" outlineLevel="0" collapsed="false">
      <c r="A30" s="10" t="str">
        <f aca="false" t="array" ref="A30:A30">IFERROR(INDEX(CHECKS!$A$2:$A$2000,SMALL(IF(CHECKS!$E$2:$E$2000="y",ROW(CHECKS!$E$2:$E$2000)-1),26)),"")</f>
        <v/>
      </c>
      <c r="B30" s="10" t="str">
        <f aca="false">IF(A30="","",INDEX(CHECKS!$C$2:$C$2000,MATCH(A30,CHECKS!$A$2:$A$2000,0)))</f>
        <v/>
      </c>
      <c r="C30" s="10" t="str">
        <f aca="false">IF(A30="","",SUMIFS(RECHECKS!$G$2:$G$2000,RECHECKS!$C$2:$C$2000,A30))</f>
        <v/>
      </c>
      <c r="D30" s="14" t="str">
        <f aca="false">IF(OR(A30="",C30=0),"",SUMIFS(RECHECKS!$F$2:$F$2000,RECHECKS!$C$2:$C$2000,A30,RECHECKS!$G$2:$G$2000,1)/(5*C30))</f>
        <v/>
      </c>
      <c r="E30" s="14" t="str">
        <f aca="false">IF(OR(A30="",C30=0),"",SUMIFS(RECHECKS!$D$2:$D$2000,RECHECKS!$C$2:$C$2000,A30,RECHECKS!$G$2:$G$2000,1)/(3*C30))</f>
        <v/>
      </c>
      <c r="F30" s="15" t="str">
        <f aca="false">IF(D30="","",(E30-D30)*100)</f>
        <v/>
      </c>
      <c r="G30" s="10" t="str">
        <f aca="false">IF(A30="","",INDEX(CHECKS!$F$2:$F$2000,MATCH(A30,CHECKS!$A$2:$A$2000,0))&amp;"")</f>
        <v/>
      </c>
      <c r="H30" s="10" t="str">
        <f aca="false">IF(OR(A30="",G30=""),"",SUMIFS(RECHECKS!$J$2:$J$2000,RECHECKS!$C$2:$C$2000,A30))</f>
        <v/>
      </c>
      <c r="I30" s="14" t="str">
        <f aca="false">IF(OR(H30="",H30=0),"",SUMIFS(RECHECKS!$I$2:$I$2000,RECHECKS!$C$2:$C$2000,A30,RECHECKS!$J$2:$J$2000,1)/(5*H30))</f>
        <v/>
      </c>
      <c r="J30" s="14" t="str">
        <f aca="false">IF(OR(H30="",H30=0),"",SUMIFS(RECHECKS!$E$2:$E$2000,RECHECKS!$C$2:$C$2000,A30,RECHECKS!$J$2:$J$2000,1)/(2*H30))</f>
        <v/>
      </c>
      <c r="K30" s="15" t="str">
        <f aca="false">IF(I30="","",(J30-I30)*100)</f>
        <v/>
      </c>
      <c r="L30" s="15" t="str">
        <f aca="false">IF(F30="","",IF(K30="",F30,F30-K30))</f>
        <v/>
      </c>
      <c r="M30" s="15" t="str">
        <f aca="false">IF(A30="","",(SUMIFS(SCORES!$D$2:$D$2000,SCORES!$C$2:$C$2000,A30)/(5*COUNTIFS(SCORES!$C$2:$C$2000,A30,SCORES!$D$2:$D$2000,"&gt;=0"))-SUMIFS(SCORES!$D$2:$D$2000,SCORES!$D$2:$D$2000,"&gt;=0")/(5*COUNTIFS(SCORES!$D$2:$D$2000,"&gt;=0")))*100)</f>
        <v/>
      </c>
      <c r="N30" s="15" t="str">
        <f aca="false">IF(B30="","",IFERROR(INDEX(UNITS!$E$2:$E$2000,MATCH(B30,UNITS!$A$2:$A$2000,0)),""))</f>
        <v/>
      </c>
      <c r="O30" s="14" t="str">
        <f aca="false">IF(A30="","",IFERROR(COUNTIFS(SCORES!$C$2:$C$2000,A30,SCORES!$B$2:$B$2000,"C",SCORES!$D$2:$D$2000,"&gt;=4")/COUNTIFS(SCORES!$C$2:$C$2000,A30,SCORES!$B$2:$B$2000,"C",SCORES!$D$2:$D$2000,"&gt;=0"),""))</f>
        <v/>
      </c>
      <c r="P30" s="14" t="str">
        <f aca="false">IF(A30="","",IFERROR(COUNTIFS(SCORES!$C$2:$C$2000,A30,SCORES!$B$2:$B$2000,"J",SCORES!$D$2:$D$2000,"&gt;=4")/COUNTIFS(SCORES!$C$2:$C$2000,A30,SCORES!$B$2:$B$2000,"J",SCORES!$D$2:$D$2000,"&gt;=0"),""))</f>
        <v/>
      </c>
      <c r="Q30" s="15" t="str">
        <f aca="false">IF(OR(O30="",P30=""),"",(O30-P30)*100)</f>
        <v/>
      </c>
    </row>
    <row r="31" customFormat="false" ht="15" hidden="false" customHeight="false" outlineLevel="0" collapsed="false">
      <c r="A31" s="7" t="str">
        <f aca="false" t="array" ref="A31:A31">IFERROR(INDEX(CHECKS!$A$2:$A$2000,SMALL(IF(CHECKS!$E$2:$E$2000="y",ROW(CHECKS!$E$2:$E$2000)-1),27)),"")</f>
        <v/>
      </c>
      <c r="B31" s="7" t="str">
        <f aca="false">IF(A31="","",INDEX(CHECKS!$C$2:$C$2000,MATCH(A31,CHECKS!$A$2:$A$2000,0)))</f>
        <v/>
      </c>
      <c r="C31" s="7" t="str">
        <f aca="false">IF(A31="","",SUMIFS(RECHECKS!$G$2:$G$2000,RECHECKS!$C$2:$C$2000,A31))</f>
        <v/>
      </c>
      <c r="D31" s="12" t="str">
        <f aca="false">IF(OR(A31="",C31=0),"",SUMIFS(RECHECKS!$F$2:$F$2000,RECHECKS!$C$2:$C$2000,A31,RECHECKS!$G$2:$G$2000,1)/(5*C31))</f>
        <v/>
      </c>
      <c r="E31" s="12" t="str">
        <f aca="false">IF(OR(A31="",C31=0),"",SUMIFS(RECHECKS!$D$2:$D$2000,RECHECKS!$C$2:$C$2000,A31,RECHECKS!$G$2:$G$2000,1)/(3*C31))</f>
        <v/>
      </c>
      <c r="F31" s="13" t="str">
        <f aca="false">IF(D31="","",(E31-D31)*100)</f>
        <v/>
      </c>
      <c r="G31" s="7" t="str">
        <f aca="false">IF(A31="","",INDEX(CHECKS!$F$2:$F$2000,MATCH(A31,CHECKS!$A$2:$A$2000,0))&amp;"")</f>
        <v/>
      </c>
      <c r="H31" s="7" t="str">
        <f aca="false">IF(OR(A31="",G31=""),"",SUMIFS(RECHECKS!$J$2:$J$2000,RECHECKS!$C$2:$C$2000,A31))</f>
        <v/>
      </c>
      <c r="I31" s="12" t="str">
        <f aca="false">IF(OR(H31="",H31=0),"",SUMIFS(RECHECKS!$I$2:$I$2000,RECHECKS!$C$2:$C$2000,A31,RECHECKS!$J$2:$J$2000,1)/(5*H31))</f>
        <v/>
      </c>
      <c r="J31" s="12" t="str">
        <f aca="false">IF(OR(H31="",H31=0),"",SUMIFS(RECHECKS!$E$2:$E$2000,RECHECKS!$C$2:$C$2000,A31,RECHECKS!$J$2:$J$2000,1)/(2*H31))</f>
        <v/>
      </c>
      <c r="K31" s="13" t="str">
        <f aca="false">IF(I31="","",(J31-I31)*100)</f>
        <v/>
      </c>
      <c r="L31" s="13" t="str">
        <f aca="false">IF(F31="","",IF(K31="",F31,F31-K31))</f>
        <v/>
      </c>
      <c r="M31" s="13" t="str">
        <f aca="false">IF(A31="","",(SUMIFS(SCORES!$D$2:$D$2000,SCORES!$C$2:$C$2000,A31)/(5*COUNTIFS(SCORES!$C$2:$C$2000,A31,SCORES!$D$2:$D$2000,"&gt;=0"))-SUMIFS(SCORES!$D$2:$D$2000,SCORES!$D$2:$D$2000,"&gt;=0")/(5*COUNTIFS(SCORES!$D$2:$D$2000,"&gt;=0")))*100)</f>
        <v/>
      </c>
      <c r="N31" s="13" t="str">
        <f aca="false">IF(B31="","",IFERROR(INDEX(UNITS!$E$2:$E$2000,MATCH(B31,UNITS!$A$2:$A$2000,0)),""))</f>
        <v/>
      </c>
      <c r="O31" s="12" t="str">
        <f aca="false">IF(A31="","",IFERROR(COUNTIFS(SCORES!$C$2:$C$2000,A31,SCORES!$B$2:$B$2000,"C",SCORES!$D$2:$D$2000,"&gt;=4")/COUNTIFS(SCORES!$C$2:$C$2000,A31,SCORES!$B$2:$B$2000,"C",SCORES!$D$2:$D$2000,"&gt;=0"),""))</f>
        <v/>
      </c>
      <c r="P31" s="12" t="str">
        <f aca="false">IF(A31="","",IFERROR(COUNTIFS(SCORES!$C$2:$C$2000,A31,SCORES!$B$2:$B$2000,"J",SCORES!$D$2:$D$2000,"&gt;=4")/COUNTIFS(SCORES!$C$2:$C$2000,A31,SCORES!$B$2:$B$2000,"J",SCORES!$D$2:$D$2000,"&gt;=0"),""))</f>
        <v/>
      </c>
      <c r="Q31" s="13" t="str">
        <f aca="false">IF(OR(O31="",P31=""),"",(O31-P31)*100)</f>
        <v/>
      </c>
    </row>
    <row r="32" customFormat="false" ht="15" hidden="false" customHeight="false" outlineLevel="0" collapsed="false">
      <c r="A32" s="10" t="str">
        <f aca="false" t="array" ref="A32:A32">IFERROR(INDEX(CHECKS!$A$2:$A$2000,SMALL(IF(CHECKS!$E$2:$E$2000="y",ROW(CHECKS!$E$2:$E$2000)-1),28)),"")</f>
        <v/>
      </c>
      <c r="B32" s="10" t="str">
        <f aca="false">IF(A32="","",INDEX(CHECKS!$C$2:$C$2000,MATCH(A32,CHECKS!$A$2:$A$2000,0)))</f>
        <v/>
      </c>
      <c r="C32" s="10" t="str">
        <f aca="false">IF(A32="","",SUMIFS(RECHECKS!$G$2:$G$2000,RECHECKS!$C$2:$C$2000,A32))</f>
        <v/>
      </c>
      <c r="D32" s="14" t="str">
        <f aca="false">IF(OR(A32="",C32=0),"",SUMIFS(RECHECKS!$F$2:$F$2000,RECHECKS!$C$2:$C$2000,A32,RECHECKS!$G$2:$G$2000,1)/(5*C32))</f>
        <v/>
      </c>
      <c r="E32" s="14" t="str">
        <f aca="false">IF(OR(A32="",C32=0),"",SUMIFS(RECHECKS!$D$2:$D$2000,RECHECKS!$C$2:$C$2000,A32,RECHECKS!$G$2:$G$2000,1)/(3*C32))</f>
        <v/>
      </c>
      <c r="F32" s="15" t="str">
        <f aca="false">IF(D32="","",(E32-D32)*100)</f>
        <v/>
      </c>
      <c r="G32" s="10" t="str">
        <f aca="false">IF(A32="","",INDEX(CHECKS!$F$2:$F$2000,MATCH(A32,CHECKS!$A$2:$A$2000,0))&amp;"")</f>
        <v/>
      </c>
      <c r="H32" s="10" t="str">
        <f aca="false">IF(OR(A32="",G32=""),"",SUMIFS(RECHECKS!$J$2:$J$2000,RECHECKS!$C$2:$C$2000,A32))</f>
        <v/>
      </c>
      <c r="I32" s="14" t="str">
        <f aca="false">IF(OR(H32="",H32=0),"",SUMIFS(RECHECKS!$I$2:$I$2000,RECHECKS!$C$2:$C$2000,A32,RECHECKS!$J$2:$J$2000,1)/(5*H32))</f>
        <v/>
      </c>
      <c r="J32" s="14" t="str">
        <f aca="false">IF(OR(H32="",H32=0),"",SUMIFS(RECHECKS!$E$2:$E$2000,RECHECKS!$C$2:$C$2000,A32,RECHECKS!$J$2:$J$2000,1)/(2*H32))</f>
        <v/>
      </c>
      <c r="K32" s="15" t="str">
        <f aca="false">IF(I32="","",(J32-I32)*100)</f>
        <v/>
      </c>
      <c r="L32" s="15" t="str">
        <f aca="false">IF(F32="","",IF(K32="",F32,F32-K32))</f>
        <v/>
      </c>
      <c r="M32" s="15" t="str">
        <f aca="false">IF(A32="","",(SUMIFS(SCORES!$D$2:$D$2000,SCORES!$C$2:$C$2000,A32)/(5*COUNTIFS(SCORES!$C$2:$C$2000,A32,SCORES!$D$2:$D$2000,"&gt;=0"))-SUMIFS(SCORES!$D$2:$D$2000,SCORES!$D$2:$D$2000,"&gt;=0")/(5*COUNTIFS(SCORES!$D$2:$D$2000,"&gt;=0")))*100)</f>
        <v/>
      </c>
      <c r="N32" s="15" t="str">
        <f aca="false">IF(B32="","",IFERROR(INDEX(UNITS!$E$2:$E$2000,MATCH(B32,UNITS!$A$2:$A$2000,0)),""))</f>
        <v/>
      </c>
      <c r="O32" s="14" t="str">
        <f aca="false">IF(A32="","",IFERROR(COUNTIFS(SCORES!$C$2:$C$2000,A32,SCORES!$B$2:$B$2000,"C",SCORES!$D$2:$D$2000,"&gt;=4")/COUNTIFS(SCORES!$C$2:$C$2000,A32,SCORES!$B$2:$B$2000,"C",SCORES!$D$2:$D$2000,"&gt;=0"),""))</f>
        <v/>
      </c>
      <c r="P32" s="14" t="str">
        <f aca="false">IF(A32="","",IFERROR(COUNTIFS(SCORES!$C$2:$C$2000,A32,SCORES!$B$2:$B$2000,"J",SCORES!$D$2:$D$2000,"&gt;=4")/COUNTIFS(SCORES!$C$2:$C$2000,A32,SCORES!$B$2:$B$2000,"J",SCORES!$D$2:$D$2000,"&gt;=0"),""))</f>
        <v/>
      </c>
      <c r="Q32" s="15" t="str">
        <f aca="false">IF(OR(O32="",P32=""),"",(O32-P32)*100)</f>
        <v/>
      </c>
    </row>
    <row r="33" customFormat="false" ht="15" hidden="false" customHeight="false" outlineLevel="0" collapsed="false">
      <c r="A33" s="7" t="str">
        <f aca="false" t="array" ref="A33:A33">IFERROR(INDEX(CHECKS!$A$2:$A$2000,SMALL(IF(CHECKS!$E$2:$E$2000="y",ROW(CHECKS!$E$2:$E$2000)-1),29)),"")</f>
        <v/>
      </c>
      <c r="B33" s="7" t="str">
        <f aca="false">IF(A33="","",INDEX(CHECKS!$C$2:$C$2000,MATCH(A33,CHECKS!$A$2:$A$2000,0)))</f>
        <v/>
      </c>
      <c r="C33" s="7" t="str">
        <f aca="false">IF(A33="","",SUMIFS(RECHECKS!$G$2:$G$2000,RECHECKS!$C$2:$C$2000,A33))</f>
        <v/>
      </c>
      <c r="D33" s="12" t="str">
        <f aca="false">IF(OR(A33="",C33=0),"",SUMIFS(RECHECKS!$F$2:$F$2000,RECHECKS!$C$2:$C$2000,A33,RECHECKS!$G$2:$G$2000,1)/(5*C33))</f>
        <v/>
      </c>
      <c r="E33" s="12" t="str">
        <f aca="false">IF(OR(A33="",C33=0),"",SUMIFS(RECHECKS!$D$2:$D$2000,RECHECKS!$C$2:$C$2000,A33,RECHECKS!$G$2:$G$2000,1)/(3*C33))</f>
        <v/>
      </c>
      <c r="F33" s="13" t="str">
        <f aca="false">IF(D33="","",(E33-D33)*100)</f>
        <v/>
      </c>
      <c r="G33" s="7" t="str">
        <f aca="false">IF(A33="","",INDEX(CHECKS!$F$2:$F$2000,MATCH(A33,CHECKS!$A$2:$A$2000,0))&amp;"")</f>
        <v/>
      </c>
      <c r="H33" s="7" t="str">
        <f aca="false">IF(OR(A33="",G33=""),"",SUMIFS(RECHECKS!$J$2:$J$2000,RECHECKS!$C$2:$C$2000,A33))</f>
        <v/>
      </c>
      <c r="I33" s="12" t="str">
        <f aca="false">IF(OR(H33="",H33=0),"",SUMIFS(RECHECKS!$I$2:$I$2000,RECHECKS!$C$2:$C$2000,A33,RECHECKS!$J$2:$J$2000,1)/(5*H33))</f>
        <v/>
      </c>
      <c r="J33" s="12" t="str">
        <f aca="false">IF(OR(H33="",H33=0),"",SUMIFS(RECHECKS!$E$2:$E$2000,RECHECKS!$C$2:$C$2000,A33,RECHECKS!$J$2:$J$2000,1)/(2*H33))</f>
        <v/>
      </c>
      <c r="K33" s="13" t="str">
        <f aca="false">IF(I33="","",(J33-I33)*100)</f>
        <v/>
      </c>
      <c r="L33" s="13" t="str">
        <f aca="false">IF(F33="","",IF(K33="",F33,F33-K33))</f>
        <v/>
      </c>
      <c r="M33" s="13" t="str">
        <f aca="false">IF(A33="","",(SUMIFS(SCORES!$D$2:$D$2000,SCORES!$C$2:$C$2000,A33)/(5*COUNTIFS(SCORES!$C$2:$C$2000,A33,SCORES!$D$2:$D$2000,"&gt;=0"))-SUMIFS(SCORES!$D$2:$D$2000,SCORES!$D$2:$D$2000,"&gt;=0")/(5*COUNTIFS(SCORES!$D$2:$D$2000,"&gt;=0")))*100)</f>
        <v/>
      </c>
      <c r="N33" s="13" t="str">
        <f aca="false">IF(B33="","",IFERROR(INDEX(UNITS!$E$2:$E$2000,MATCH(B33,UNITS!$A$2:$A$2000,0)),""))</f>
        <v/>
      </c>
      <c r="O33" s="12" t="str">
        <f aca="false">IF(A33="","",IFERROR(COUNTIFS(SCORES!$C$2:$C$2000,A33,SCORES!$B$2:$B$2000,"C",SCORES!$D$2:$D$2000,"&gt;=4")/COUNTIFS(SCORES!$C$2:$C$2000,A33,SCORES!$B$2:$B$2000,"C",SCORES!$D$2:$D$2000,"&gt;=0"),""))</f>
        <v/>
      </c>
      <c r="P33" s="12" t="str">
        <f aca="false">IF(A33="","",IFERROR(COUNTIFS(SCORES!$C$2:$C$2000,A33,SCORES!$B$2:$B$2000,"J",SCORES!$D$2:$D$2000,"&gt;=4")/COUNTIFS(SCORES!$C$2:$C$2000,A33,SCORES!$B$2:$B$2000,"J",SCORES!$D$2:$D$2000,"&gt;=0"),""))</f>
        <v/>
      </c>
      <c r="Q33" s="13" t="str">
        <f aca="false">IF(OR(O33="",P33=""),"",(O33-P33)*100)</f>
        <v/>
      </c>
    </row>
    <row r="34" customFormat="false" ht="15" hidden="false" customHeight="false" outlineLevel="0" collapsed="false">
      <c r="A34" s="10" t="str">
        <f aca="false" t="array" ref="A34:A34">IFERROR(INDEX(CHECKS!$A$2:$A$2000,SMALL(IF(CHECKS!$E$2:$E$2000="y",ROW(CHECKS!$E$2:$E$2000)-1),30)),"")</f>
        <v/>
      </c>
      <c r="B34" s="10" t="str">
        <f aca="false">IF(A34="","",INDEX(CHECKS!$C$2:$C$2000,MATCH(A34,CHECKS!$A$2:$A$2000,0)))</f>
        <v/>
      </c>
      <c r="C34" s="10" t="str">
        <f aca="false">IF(A34="","",SUMIFS(RECHECKS!$G$2:$G$2000,RECHECKS!$C$2:$C$2000,A34))</f>
        <v/>
      </c>
      <c r="D34" s="14" t="str">
        <f aca="false">IF(OR(A34="",C34=0),"",SUMIFS(RECHECKS!$F$2:$F$2000,RECHECKS!$C$2:$C$2000,A34,RECHECKS!$G$2:$G$2000,1)/(5*C34))</f>
        <v/>
      </c>
      <c r="E34" s="14" t="str">
        <f aca="false">IF(OR(A34="",C34=0),"",SUMIFS(RECHECKS!$D$2:$D$2000,RECHECKS!$C$2:$C$2000,A34,RECHECKS!$G$2:$G$2000,1)/(3*C34))</f>
        <v/>
      </c>
      <c r="F34" s="15" t="str">
        <f aca="false">IF(D34="","",(E34-D34)*100)</f>
        <v/>
      </c>
      <c r="G34" s="10" t="str">
        <f aca="false">IF(A34="","",INDEX(CHECKS!$F$2:$F$2000,MATCH(A34,CHECKS!$A$2:$A$2000,0))&amp;"")</f>
        <v/>
      </c>
      <c r="H34" s="10" t="str">
        <f aca="false">IF(OR(A34="",G34=""),"",SUMIFS(RECHECKS!$J$2:$J$2000,RECHECKS!$C$2:$C$2000,A34))</f>
        <v/>
      </c>
      <c r="I34" s="14" t="str">
        <f aca="false">IF(OR(H34="",H34=0),"",SUMIFS(RECHECKS!$I$2:$I$2000,RECHECKS!$C$2:$C$2000,A34,RECHECKS!$J$2:$J$2000,1)/(5*H34))</f>
        <v/>
      </c>
      <c r="J34" s="14" t="str">
        <f aca="false">IF(OR(H34="",H34=0),"",SUMIFS(RECHECKS!$E$2:$E$2000,RECHECKS!$C$2:$C$2000,A34,RECHECKS!$J$2:$J$2000,1)/(2*H34))</f>
        <v/>
      </c>
      <c r="K34" s="15" t="str">
        <f aca="false">IF(I34="","",(J34-I34)*100)</f>
        <v/>
      </c>
      <c r="L34" s="15" t="str">
        <f aca="false">IF(F34="","",IF(K34="",F34,F34-K34))</f>
        <v/>
      </c>
      <c r="M34" s="15" t="str">
        <f aca="false">IF(A34="","",(SUMIFS(SCORES!$D$2:$D$2000,SCORES!$C$2:$C$2000,A34)/(5*COUNTIFS(SCORES!$C$2:$C$2000,A34,SCORES!$D$2:$D$2000,"&gt;=0"))-SUMIFS(SCORES!$D$2:$D$2000,SCORES!$D$2:$D$2000,"&gt;=0")/(5*COUNTIFS(SCORES!$D$2:$D$2000,"&gt;=0")))*100)</f>
        <v/>
      </c>
      <c r="N34" s="15" t="str">
        <f aca="false">IF(B34="","",IFERROR(INDEX(UNITS!$E$2:$E$2000,MATCH(B34,UNITS!$A$2:$A$2000,0)),""))</f>
        <v/>
      </c>
      <c r="O34" s="14" t="str">
        <f aca="false">IF(A34="","",IFERROR(COUNTIFS(SCORES!$C$2:$C$2000,A34,SCORES!$B$2:$B$2000,"C",SCORES!$D$2:$D$2000,"&gt;=4")/COUNTIFS(SCORES!$C$2:$C$2000,A34,SCORES!$B$2:$B$2000,"C",SCORES!$D$2:$D$2000,"&gt;=0"),""))</f>
        <v/>
      </c>
      <c r="P34" s="14" t="str">
        <f aca="false">IF(A34="","",IFERROR(COUNTIFS(SCORES!$C$2:$C$2000,A34,SCORES!$B$2:$B$2000,"J",SCORES!$D$2:$D$2000,"&gt;=4")/COUNTIFS(SCORES!$C$2:$C$2000,A34,SCORES!$B$2:$B$2000,"J",SCORES!$D$2:$D$2000,"&gt;=0"),""))</f>
        <v/>
      </c>
      <c r="Q34" s="15" t="str">
        <f aca="false">IF(OR(O34="",P34=""),"",(O34-P34)*100)</f>
        <v/>
      </c>
    </row>
    <row r="35" customFormat="false" ht="15" hidden="false" customHeight="false" outlineLevel="0" collapsed="false">
      <c r="A35" s="7" t="str">
        <f aca="false" t="array" ref="A35:A35">IFERROR(INDEX(CHECKS!$A$2:$A$2000,SMALL(IF(CHECKS!$E$2:$E$2000="y",ROW(CHECKS!$E$2:$E$2000)-1),31)),"")</f>
        <v/>
      </c>
      <c r="B35" s="7" t="str">
        <f aca="false">IF(A35="","",INDEX(CHECKS!$C$2:$C$2000,MATCH(A35,CHECKS!$A$2:$A$2000,0)))</f>
        <v/>
      </c>
      <c r="C35" s="7" t="str">
        <f aca="false">IF(A35="","",SUMIFS(RECHECKS!$G$2:$G$2000,RECHECKS!$C$2:$C$2000,A35))</f>
        <v/>
      </c>
      <c r="D35" s="12" t="str">
        <f aca="false">IF(OR(A35="",C35=0),"",SUMIFS(RECHECKS!$F$2:$F$2000,RECHECKS!$C$2:$C$2000,A35,RECHECKS!$G$2:$G$2000,1)/(5*C35))</f>
        <v/>
      </c>
      <c r="E35" s="12" t="str">
        <f aca="false">IF(OR(A35="",C35=0),"",SUMIFS(RECHECKS!$D$2:$D$2000,RECHECKS!$C$2:$C$2000,A35,RECHECKS!$G$2:$G$2000,1)/(3*C35))</f>
        <v/>
      </c>
      <c r="F35" s="13" t="str">
        <f aca="false">IF(D35="","",(E35-D35)*100)</f>
        <v/>
      </c>
      <c r="G35" s="7" t="str">
        <f aca="false">IF(A35="","",INDEX(CHECKS!$F$2:$F$2000,MATCH(A35,CHECKS!$A$2:$A$2000,0))&amp;"")</f>
        <v/>
      </c>
      <c r="H35" s="7" t="str">
        <f aca="false">IF(OR(A35="",G35=""),"",SUMIFS(RECHECKS!$J$2:$J$2000,RECHECKS!$C$2:$C$2000,A35))</f>
        <v/>
      </c>
      <c r="I35" s="12" t="str">
        <f aca="false">IF(OR(H35="",H35=0),"",SUMIFS(RECHECKS!$I$2:$I$2000,RECHECKS!$C$2:$C$2000,A35,RECHECKS!$J$2:$J$2000,1)/(5*H35))</f>
        <v/>
      </c>
      <c r="J35" s="12" t="str">
        <f aca="false">IF(OR(H35="",H35=0),"",SUMIFS(RECHECKS!$E$2:$E$2000,RECHECKS!$C$2:$C$2000,A35,RECHECKS!$J$2:$J$2000,1)/(2*H35))</f>
        <v/>
      </c>
      <c r="K35" s="13" t="str">
        <f aca="false">IF(I35="","",(J35-I35)*100)</f>
        <v/>
      </c>
      <c r="L35" s="13" t="str">
        <f aca="false">IF(F35="","",IF(K35="",F35,F35-K35))</f>
        <v/>
      </c>
      <c r="M35" s="13" t="str">
        <f aca="false">IF(A35="","",(SUMIFS(SCORES!$D$2:$D$2000,SCORES!$C$2:$C$2000,A35)/(5*COUNTIFS(SCORES!$C$2:$C$2000,A35,SCORES!$D$2:$D$2000,"&gt;=0"))-SUMIFS(SCORES!$D$2:$D$2000,SCORES!$D$2:$D$2000,"&gt;=0")/(5*COUNTIFS(SCORES!$D$2:$D$2000,"&gt;=0")))*100)</f>
        <v/>
      </c>
      <c r="N35" s="13" t="str">
        <f aca="false">IF(B35="","",IFERROR(INDEX(UNITS!$E$2:$E$2000,MATCH(B35,UNITS!$A$2:$A$2000,0)),""))</f>
        <v/>
      </c>
      <c r="O35" s="12" t="str">
        <f aca="false">IF(A35="","",IFERROR(COUNTIFS(SCORES!$C$2:$C$2000,A35,SCORES!$B$2:$B$2000,"C",SCORES!$D$2:$D$2000,"&gt;=4")/COUNTIFS(SCORES!$C$2:$C$2000,A35,SCORES!$B$2:$B$2000,"C",SCORES!$D$2:$D$2000,"&gt;=0"),""))</f>
        <v/>
      </c>
      <c r="P35" s="12" t="str">
        <f aca="false">IF(A35="","",IFERROR(COUNTIFS(SCORES!$C$2:$C$2000,A35,SCORES!$B$2:$B$2000,"J",SCORES!$D$2:$D$2000,"&gt;=4")/COUNTIFS(SCORES!$C$2:$C$2000,A35,SCORES!$B$2:$B$2000,"J",SCORES!$D$2:$D$2000,"&gt;=0"),""))</f>
        <v/>
      </c>
      <c r="Q35" s="13" t="str">
        <f aca="false">IF(OR(O35="",P35=""),"",(O35-P35)*100)</f>
        <v/>
      </c>
    </row>
    <row r="36" customFormat="false" ht="15" hidden="false" customHeight="false" outlineLevel="0" collapsed="false">
      <c r="A36" s="10" t="str">
        <f aca="false" t="array" ref="A36:A36">IFERROR(INDEX(CHECKS!$A$2:$A$2000,SMALL(IF(CHECKS!$E$2:$E$2000="y",ROW(CHECKS!$E$2:$E$2000)-1),32)),"")</f>
        <v/>
      </c>
      <c r="B36" s="10" t="str">
        <f aca="false">IF(A36="","",INDEX(CHECKS!$C$2:$C$2000,MATCH(A36,CHECKS!$A$2:$A$2000,0)))</f>
        <v/>
      </c>
      <c r="C36" s="10" t="str">
        <f aca="false">IF(A36="","",SUMIFS(RECHECKS!$G$2:$G$2000,RECHECKS!$C$2:$C$2000,A36))</f>
        <v/>
      </c>
      <c r="D36" s="14" t="str">
        <f aca="false">IF(OR(A36="",C36=0),"",SUMIFS(RECHECKS!$F$2:$F$2000,RECHECKS!$C$2:$C$2000,A36,RECHECKS!$G$2:$G$2000,1)/(5*C36))</f>
        <v/>
      </c>
      <c r="E36" s="14" t="str">
        <f aca="false">IF(OR(A36="",C36=0),"",SUMIFS(RECHECKS!$D$2:$D$2000,RECHECKS!$C$2:$C$2000,A36,RECHECKS!$G$2:$G$2000,1)/(3*C36))</f>
        <v/>
      </c>
      <c r="F36" s="15" t="str">
        <f aca="false">IF(D36="","",(E36-D36)*100)</f>
        <v/>
      </c>
      <c r="G36" s="10" t="str">
        <f aca="false">IF(A36="","",INDEX(CHECKS!$F$2:$F$2000,MATCH(A36,CHECKS!$A$2:$A$2000,0))&amp;"")</f>
        <v/>
      </c>
      <c r="H36" s="10" t="str">
        <f aca="false">IF(OR(A36="",G36=""),"",SUMIFS(RECHECKS!$J$2:$J$2000,RECHECKS!$C$2:$C$2000,A36))</f>
        <v/>
      </c>
      <c r="I36" s="14" t="str">
        <f aca="false">IF(OR(H36="",H36=0),"",SUMIFS(RECHECKS!$I$2:$I$2000,RECHECKS!$C$2:$C$2000,A36,RECHECKS!$J$2:$J$2000,1)/(5*H36))</f>
        <v/>
      </c>
      <c r="J36" s="14" t="str">
        <f aca="false">IF(OR(H36="",H36=0),"",SUMIFS(RECHECKS!$E$2:$E$2000,RECHECKS!$C$2:$C$2000,A36,RECHECKS!$J$2:$J$2000,1)/(2*H36))</f>
        <v/>
      </c>
      <c r="K36" s="15" t="str">
        <f aca="false">IF(I36="","",(J36-I36)*100)</f>
        <v/>
      </c>
      <c r="L36" s="15" t="str">
        <f aca="false">IF(F36="","",IF(K36="",F36,F36-K36))</f>
        <v/>
      </c>
      <c r="M36" s="15" t="str">
        <f aca="false">IF(A36="","",(SUMIFS(SCORES!$D$2:$D$2000,SCORES!$C$2:$C$2000,A36)/(5*COUNTIFS(SCORES!$C$2:$C$2000,A36,SCORES!$D$2:$D$2000,"&gt;=0"))-SUMIFS(SCORES!$D$2:$D$2000,SCORES!$D$2:$D$2000,"&gt;=0")/(5*COUNTIFS(SCORES!$D$2:$D$2000,"&gt;=0")))*100)</f>
        <v/>
      </c>
      <c r="N36" s="15" t="str">
        <f aca="false">IF(B36="","",IFERROR(INDEX(UNITS!$E$2:$E$2000,MATCH(B36,UNITS!$A$2:$A$2000,0)),""))</f>
        <v/>
      </c>
      <c r="O36" s="14" t="str">
        <f aca="false">IF(A36="","",IFERROR(COUNTIFS(SCORES!$C$2:$C$2000,A36,SCORES!$B$2:$B$2000,"C",SCORES!$D$2:$D$2000,"&gt;=4")/COUNTIFS(SCORES!$C$2:$C$2000,A36,SCORES!$B$2:$B$2000,"C",SCORES!$D$2:$D$2000,"&gt;=0"),""))</f>
        <v/>
      </c>
      <c r="P36" s="14" t="str">
        <f aca="false">IF(A36="","",IFERROR(COUNTIFS(SCORES!$C$2:$C$2000,A36,SCORES!$B$2:$B$2000,"J",SCORES!$D$2:$D$2000,"&gt;=4")/COUNTIFS(SCORES!$C$2:$C$2000,A36,SCORES!$B$2:$B$2000,"J",SCORES!$D$2:$D$2000,"&gt;=0"),""))</f>
        <v/>
      </c>
      <c r="Q36" s="15" t="str">
        <f aca="false">IF(OR(O36="",P36=""),"",(O36-P36)*100)</f>
        <v/>
      </c>
    </row>
    <row r="37" customFormat="false" ht="15" hidden="false" customHeight="false" outlineLevel="0" collapsed="false">
      <c r="A37" s="7" t="str">
        <f aca="false" t="array" ref="A37:A37">IFERROR(INDEX(CHECKS!$A$2:$A$2000,SMALL(IF(CHECKS!$E$2:$E$2000="y",ROW(CHECKS!$E$2:$E$2000)-1),33)),"")</f>
        <v/>
      </c>
      <c r="B37" s="7" t="str">
        <f aca="false">IF(A37="","",INDEX(CHECKS!$C$2:$C$2000,MATCH(A37,CHECKS!$A$2:$A$2000,0)))</f>
        <v/>
      </c>
      <c r="C37" s="7" t="str">
        <f aca="false">IF(A37="","",SUMIFS(RECHECKS!$G$2:$G$2000,RECHECKS!$C$2:$C$2000,A37))</f>
        <v/>
      </c>
      <c r="D37" s="12" t="str">
        <f aca="false">IF(OR(A37="",C37=0),"",SUMIFS(RECHECKS!$F$2:$F$2000,RECHECKS!$C$2:$C$2000,A37,RECHECKS!$G$2:$G$2000,1)/(5*C37))</f>
        <v/>
      </c>
      <c r="E37" s="12" t="str">
        <f aca="false">IF(OR(A37="",C37=0),"",SUMIFS(RECHECKS!$D$2:$D$2000,RECHECKS!$C$2:$C$2000,A37,RECHECKS!$G$2:$G$2000,1)/(3*C37))</f>
        <v/>
      </c>
      <c r="F37" s="13" t="str">
        <f aca="false">IF(D37="","",(E37-D37)*100)</f>
        <v/>
      </c>
      <c r="G37" s="7" t="str">
        <f aca="false">IF(A37="","",INDEX(CHECKS!$F$2:$F$2000,MATCH(A37,CHECKS!$A$2:$A$2000,0))&amp;"")</f>
        <v/>
      </c>
      <c r="H37" s="7" t="str">
        <f aca="false">IF(OR(A37="",G37=""),"",SUMIFS(RECHECKS!$J$2:$J$2000,RECHECKS!$C$2:$C$2000,A37))</f>
        <v/>
      </c>
      <c r="I37" s="12" t="str">
        <f aca="false">IF(OR(H37="",H37=0),"",SUMIFS(RECHECKS!$I$2:$I$2000,RECHECKS!$C$2:$C$2000,A37,RECHECKS!$J$2:$J$2000,1)/(5*H37))</f>
        <v/>
      </c>
      <c r="J37" s="12" t="str">
        <f aca="false">IF(OR(H37="",H37=0),"",SUMIFS(RECHECKS!$E$2:$E$2000,RECHECKS!$C$2:$C$2000,A37,RECHECKS!$J$2:$J$2000,1)/(2*H37))</f>
        <v/>
      </c>
      <c r="K37" s="13" t="str">
        <f aca="false">IF(I37="","",(J37-I37)*100)</f>
        <v/>
      </c>
      <c r="L37" s="13" t="str">
        <f aca="false">IF(F37="","",IF(K37="",F37,F37-K37))</f>
        <v/>
      </c>
      <c r="M37" s="13" t="str">
        <f aca="false">IF(A37="","",(SUMIFS(SCORES!$D$2:$D$2000,SCORES!$C$2:$C$2000,A37)/(5*COUNTIFS(SCORES!$C$2:$C$2000,A37,SCORES!$D$2:$D$2000,"&gt;=0"))-SUMIFS(SCORES!$D$2:$D$2000,SCORES!$D$2:$D$2000,"&gt;=0")/(5*COUNTIFS(SCORES!$D$2:$D$2000,"&gt;=0")))*100)</f>
        <v/>
      </c>
      <c r="N37" s="13" t="str">
        <f aca="false">IF(B37="","",IFERROR(INDEX(UNITS!$E$2:$E$2000,MATCH(B37,UNITS!$A$2:$A$2000,0)),""))</f>
        <v/>
      </c>
      <c r="O37" s="12" t="str">
        <f aca="false">IF(A37="","",IFERROR(COUNTIFS(SCORES!$C$2:$C$2000,A37,SCORES!$B$2:$B$2000,"C",SCORES!$D$2:$D$2000,"&gt;=4")/COUNTIFS(SCORES!$C$2:$C$2000,A37,SCORES!$B$2:$B$2000,"C",SCORES!$D$2:$D$2000,"&gt;=0"),""))</f>
        <v/>
      </c>
      <c r="P37" s="12" t="str">
        <f aca="false">IF(A37="","",IFERROR(COUNTIFS(SCORES!$C$2:$C$2000,A37,SCORES!$B$2:$B$2000,"J",SCORES!$D$2:$D$2000,"&gt;=4")/COUNTIFS(SCORES!$C$2:$C$2000,A37,SCORES!$B$2:$B$2000,"J",SCORES!$D$2:$D$2000,"&gt;=0"),""))</f>
        <v/>
      </c>
      <c r="Q37" s="13" t="str">
        <f aca="false">IF(OR(O37="",P37=""),"",(O37-P37)*100)</f>
        <v/>
      </c>
    </row>
    <row r="38" customFormat="false" ht="15" hidden="false" customHeight="false" outlineLevel="0" collapsed="false">
      <c r="A38" s="10" t="str">
        <f aca="false" t="array" ref="A38:A38">IFERROR(INDEX(CHECKS!$A$2:$A$2000,SMALL(IF(CHECKS!$E$2:$E$2000="y",ROW(CHECKS!$E$2:$E$2000)-1),34)),"")</f>
        <v/>
      </c>
      <c r="B38" s="10" t="str">
        <f aca="false">IF(A38="","",INDEX(CHECKS!$C$2:$C$2000,MATCH(A38,CHECKS!$A$2:$A$2000,0)))</f>
        <v/>
      </c>
      <c r="C38" s="10" t="str">
        <f aca="false">IF(A38="","",SUMIFS(RECHECKS!$G$2:$G$2000,RECHECKS!$C$2:$C$2000,A38))</f>
        <v/>
      </c>
      <c r="D38" s="14" t="str">
        <f aca="false">IF(OR(A38="",C38=0),"",SUMIFS(RECHECKS!$F$2:$F$2000,RECHECKS!$C$2:$C$2000,A38,RECHECKS!$G$2:$G$2000,1)/(5*C38))</f>
        <v/>
      </c>
      <c r="E38" s="14" t="str">
        <f aca="false">IF(OR(A38="",C38=0),"",SUMIFS(RECHECKS!$D$2:$D$2000,RECHECKS!$C$2:$C$2000,A38,RECHECKS!$G$2:$G$2000,1)/(3*C38))</f>
        <v/>
      </c>
      <c r="F38" s="15" t="str">
        <f aca="false">IF(D38="","",(E38-D38)*100)</f>
        <v/>
      </c>
      <c r="G38" s="10" t="str">
        <f aca="false">IF(A38="","",INDEX(CHECKS!$F$2:$F$2000,MATCH(A38,CHECKS!$A$2:$A$2000,0))&amp;"")</f>
        <v/>
      </c>
      <c r="H38" s="10" t="str">
        <f aca="false">IF(OR(A38="",G38=""),"",SUMIFS(RECHECKS!$J$2:$J$2000,RECHECKS!$C$2:$C$2000,A38))</f>
        <v/>
      </c>
      <c r="I38" s="14" t="str">
        <f aca="false">IF(OR(H38="",H38=0),"",SUMIFS(RECHECKS!$I$2:$I$2000,RECHECKS!$C$2:$C$2000,A38,RECHECKS!$J$2:$J$2000,1)/(5*H38))</f>
        <v/>
      </c>
      <c r="J38" s="14" t="str">
        <f aca="false">IF(OR(H38="",H38=0),"",SUMIFS(RECHECKS!$E$2:$E$2000,RECHECKS!$C$2:$C$2000,A38,RECHECKS!$J$2:$J$2000,1)/(2*H38))</f>
        <v/>
      </c>
      <c r="K38" s="15" t="str">
        <f aca="false">IF(I38="","",(J38-I38)*100)</f>
        <v/>
      </c>
      <c r="L38" s="15" t="str">
        <f aca="false">IF(F38="","",IF(K38="",F38,F38-K38))</f>
        <v/>
      </c>
      <c r="M38" s="15" t="str">
        <f aca="false">IF(A38="","",(SUMIFS(SCORES!$D$2:$D$2000,SCORES!$C$2:$C$2000,A38)/(5*COUNTIFS(SCORES!$C$2:$C$2000,A38,SCORES!$D$2:$D$2000,"&gt;=0"))-SUMIFS(SCORES!$D$2:$D$2000,SCORES!$D$2:$D$2000,"&gt;=0")/(5*COUNTIFS(SCORES!$D$2:$D$2000,"&gt;=0")))*100)</f>
        <v/>
      </c>
      <c r="N38" s="15" t="str">
        <f aca="false">IF(B38="","",IFERROR(INDEX(UNITS!$E$2:$E$2000,MATCH(B38,UNITS!$A$2:$A$2000,0)),""))</f>
        <v/>
      </c>
      <c r="O38" s="14" t="str">
        <f aca="false">IF(A38="","",IFERROR(COUNTIFS(SCORES!$C$2:$C$2000,A38,SCORES!$B$2:$B$2000,"C",SCORES!$D$2:$D$2000,"&gt;=4")/COUNTIFS(SCORES!$C$2:$C$2000,A38,SCORES!$B$2:$B$2000,"C",SCORES!$D$2:$D$2000,"&gt;=0"),""))</f>
        <v/>
      </c>
      <c r="P38" s="14" t="str">
        <f aca="false">IF(A38="","",IFERROR(COUNTIFS(SCORES!$C$2:$C$2000,A38,SCORES!$B$2:$B$2000,"J",SCORES!$D$2:$D$2000,"&gt;=4")/COUNTIFS(SCORES!$C$2:$C$2000,A38,SCORES!$B$2:$B$2000,"J",SCORES!$D$2:$D$2000,"&gt;=0"),""))</f>
        <v/>
      </c>
      <c r="Q38" s="15" t="str">
        <f aca="false">IF(OR(O38="",P38=""),"",(O38-P38)*100)</f>
        <v/>
      </c>
    </row>
    <row r="39" customFormat="false" ht="15" hidden="false" customHeight="false" outlineLevel="0" collapsed="false">
      <c r="A39" s="7" t="str">
        <f aca="false" t="array" ref="A39:A39">IFERROR(INDEX(CHECKS!$A$2:$A$2000,SMALL(IF(CHECKS!$E$2:$E$2000="y",ROW(CHECKS!$E$2:$E$2000)-1),35)),"")</f>
        <v/>
      </c>
      <c r="B39" s="7" t="str">
        <f aca="false">IF(A39="","",INDEX(CHECKS!$C$2:$C$2000,MATCH(A39,CHECKS!$A$2:$A$2000,0)))</f>
        <v/>
      </c>
      <c r="C39" s="7" t="str">
        <f aca="false">IF(A39="","",SUMIFS(RECHECKS!$G$2:$G$2000,RECHECKS!$C$2:$C$2000,A39))</f>
        <v/>
      </c>
      <c r="D39" s="12" t="str">
        <f aca="false">IF(OR(A39="",C39=0),"",SUMIFS(RECHECKS!$F$2:$F$2000,RECHECKS!$C$2:$C$2000,A39,RECHECKS!$G$2:$G$2000,1)/(5*C39))</f>
        <v/>
      </c>
      <c r="E39" s="12" t="str">
        <f aca="false">IF(OR(A39="",C39=0),"",SUMIFS(RECHECKS!$D$2:$D$2000,RECHECKS!$C$2:$C$2000,A39,RECHECKS!$G$2:$G$2000,1)/(3*C39))</f>
        <v/>
      </c>
      <c r="F39" s="13" t="str">
        <f aca="false">IF(D39="","",(E39-D39)*100)</f>
        <v/>
      </c>
      <c r="G39" s="7" t="str">
        <f aca="false">IF(A39="","",INDEX(CHECKS!$F$2:$F$2000,MATCH(A39,CHECKS!$A$2:$A$2000,0))&amp;"")</f>
        <v/>
      </c>
      <c r="H39" s="7" t="str">
        <f aca="false">IF(OR(A39="",G39=""),"",SUMIFS(RECHECKS!$J$2:$J$2000,RECHECKS!$C$2:$C$2000,A39))</f>
        <v/>
      </c>
      <c r="I39" s="12" t="str">
        <f aca="false">IF(OR(H39="",H39=0),"",SUMIFS(RECHECKS!$I$2:$I$2000,RECHECKS!$C$2:$C$2000,A39,RECHECKS!$J$2:$J$2000,1)/(5*H39))</f>
        <v/>
      </c>
      <c r="J39" s="12" t="str">
        <f aca="false">IF(OR(H39="",H39=0),"",SUMIFS(RECHECKS!$E$2:$E$2000,RECHECKS!$C$2:$C$2000,A39,RECHECKS!$J$2:$J$2000,1)/(2*H39))</f>
        <v/>
      </c>
      <c r="K39" s="13" t="str">
        <f aca="false">IF(I39="","",(J39-I39)*100)</f>
        <v/>
      </c>
      <c r="L39" s="13" t="str">
        <f aca="false">IF(F39="","",IF(K39="",F39,F39-K39))</f>
        <v/>
      </c>
      <c r="M39" s="13" t="str">
        <f aca="false">IF(A39="","",(SUMIFS(SCORES!$D$2:$D$2000,SCORES!$C$2:$C$2000,A39)/(5*COUNTIFS(SCORES!$C$2:$C$2000,A39,SCORES!$D$2:$D$2000,"&gt;=0"))-SUMIFS(SCORES!$D$2:$D$2000,SCORES!$D$2:$D$2000,"&gt;=0")/(5*COUNTIFS(SCORES!$D$2:$D$2000,"&gt;=0")))*100)</f>
        <v/>
      </c>
      <c r="N39" s="13" t="str">
        <f aca="false">IF(B39="","",IFERROR(INDEX(UNITS!$E$2:$E$2000,MATCH(B39,UNITS!$A$2:$A$2000,0)),""))</f>
        <v/>
      </c>
      <c r="O39" s="12" t="str">
        <f aca="false">IF(A39="","",IFERROR(COUNTIFS(SCORES!$C$2:$C$2000,A39,SCORES!$B$2:$B$2000,"C",SCORES!$D$2:$D$2000,"&gt;=4")/COUNTIFS(SCORES!$C$2:$C$2000,A39,SCORES!$B$2:$B$2000,"C",SCORES!$D$2:$D$2000,"&gt;=0"),""))</f>
        <v/>
      </c>
      <c r="P39" s="12" t="str">
        <f aca="false">IF(A39="","",IFERROR(COUNTIFS(SCORES!$C$2:$C$2000,A39,SCORES!$B$2:$B$2000,"J",SCORES!$D$2:$D$2000,"&gt;=4")/COUNTIFS(SCORES!$C$2:$C$2000,A39,SCORES!$B$2:$B$2000,"J",SCORES!$D$2:$D$2000,"&gt;=0"),""))</f>
        <v/>
      </c>
      <c r="Q39" s="13" t="str">
        <f aca="false">IF(OR(O39="",P39=""),"",(O39-P39)*100)</f>
        <v/>
      </c>
    </row>
    <row r="40" customFormat="false" ht="15" hidden="false" customHeight="false" outlineLevel="0" collapsed="false">
      <c r="A40" s="10" t="str">
        <f aca="false" t="array" ref="A40:A40">IFERROR(INDEX(CHECKS!$A$2:$A$2000,SMALL(IF(CHECKS!$E$2:$E$2000="y",ROW(CHECKS!$E$2:$E$2000)-1),36)),"")</f>
        <v/>
      </c>
      <c r="B40" s="10" t="str">
        <f aca="false">IF(A40="","",INDEX(CHECKS!$C$2:$C$2000,MATCH(A40,CHECKS!$A$2:$A$2000,0)))</f>
        <v/>
      </c>
      <c r="C40" s="10" t="str">
        <f aca="false">IF(A40="","",SUMIFS(RECHECKS!$G$2:$G$2000,RECHECKS!$C$2:$C$2000,A40))</f>
        <v/>
      </c>
      <c r="D40" s="14" t="str">
        <f aca="false">IF(OR(A40="",C40=0),"",SUMIFS(RECHECKS!$F$2:$F$2000,RECHECKS!$C$2:$C$2000,A40,RECHECKS!$G$2:$G$2000,1)/(5*C40))</f>
        <v/>
      </c>
      <c r="E40" s="14" t="str">
        <f aca="false">IF(OR(A40="",C40=0),"",SUMIFS(RECHECKS!$D$2:$D$2000,RECHECKS!$C$2:$C$2000,A40,RECHECKS!$G$2:$G$2000,1)/(3*C40))</f>
        <v/>
      </c>
      <c r="F40" s="15" t="str">
        <f aca="false">IF(D40="","",(E40-D40)*100)</f>
        <v/>
      </c>
      <c r="G40" s="10" t="str">
        <f aca="false">IF(A40="","",INDEX(CHECKS!$F$2:$F$2000,MATCH(A40,CHECKS!$A$2:$A$2000,0))&amp;"")</f>
        <v/>
      </c>
      <c r="H40" s="10" t="str">
        <f aca="false">IF(OR(A40="",G40=""),"",SUMIFS(RECHECKS!$J$2:$J$2000,RECHECKS!$C$2:$C$2000,A40))</f>
        <v/>
      </c>
      <c r="I40" s="14" t="str">
        <f aca="false">IF(OR(H40="",H40=0),"",SUMIFS(RECHECKS!$I$2:$I$2000,RECHECKS!$C$2:$C$2000,A40,RECHECKS!$J$2:$J$2000,1)/(5*H40))</f>
        <v/>
      </c>
      <c r="J40" s="14" t="str">
        <f aca="false">IF(OR(H40="",H40=0),"",SUMIFS(RECHECKS!$E$2:$E$2000,RECHECKS!$C$2:$C$2000,A40,RECHECKS!$J$2:$J$2000,1)/(2*H40))</f>
        <v/>
      </c>
      <c r="K40" s="15" t="str">
        <f aca="false">IF(I40="","",(J40-I40)*100)</f>
        <v/>
      </c>
      <c r="L40" s="15" t="str">
        <f aca="false">IF(F40="","",IF(K40="",F40,F40-K40))</f>
        <v/>
      </c>
      <c r="M40" s="15" t="str">
        <f aca="false">IF(A40="","",(SUMIFS(SCORES!$D$2:$D$2000,SCORES!$C$2:$C$2000,A40)/(5*COUNTIFS(SCORES!$C$2:$C$2000,A40,SCORES!$D$2:$D$2000,"&gt;=0"))-SUMIFS(SCORES!$D$2:$D$2000,SCORES!$D$2:$D$2000,"&gt;=0")/(5*COUNTIFS(SCORES!$D$2:$D$2000,"&gt;=0")))*100)</f>
        <v/>
      </c>
      <c r="N40" s="15" t="str">
        <f aca="false">IF(B40="","",IFERROR(INDEX(UNITS!$E$2:$E$2000,MATCH(B40,UNITS!$A$2:$A$2000,0)),""))</f>
        <v/>
      </c>
      <c r="O40" s="14" t="str">
        <f aca="false">IF(A40="","",IFERROR(COUNTIFS(SCORES!$C$2:$C$2000,A40,SCORES!$B$2:$B$2000,"C",SCORES!$D$2:$D$2000,"&gt;=4")/COUNTIFS(SCORES!$C$2:$C$2000,A40,SCORES!$B$2:$B$2000,"C",SCORES!$D$2:$D$2000,"&gt;=0"),""))</f>
        <v/>
      </c>
      <c r="P40" s="14" t="str">
        <f aca="false">IF(A40="","",IFERROR(COUNTIFS(SCORES!$C$2:$C$2000,A40,SCORES!$B$2:$B$2000,"J",SCORES!$D$2:$D$2000,"&gt;=4")/COUNTIFS(SCORES!$C$2:$C$2000,A40,SCORES!$B$2:$B$2000,"J",SCORES!$D$2:$D$2000,"&gt;=0"),""))</f>
        <v/>
      </c>
      <c r="Q40" s="15" t="str">
        <f aca="false">IF(OR(O40="",P40=""),"",(O40-P40)*100)</f>
        <v/>
      </c>
    </row>
    <row r="41" customFormat="false" ht="15" hidden="false" customHeight="false" outlineLevel="0" collapsed="false">
      <c r="A41" s="7" t="str">
        <f aca="false" t="array" ref="A41:A41">IFERROR(INDEX(CHECKS!$A$2:$A$2000,SMALL(IF(CHECKS!$E$2:$E$2000="y",ROW(CHECKS!$E$2:$E$2000)-1),37)),"")</f>
        <v/>
      </c>
      <c r="B41" s="7" t="str">
        <f aca="false">IF(A41="","",INDEX(CHECKS!$C$2:$C$2000,MATCH(A41,CHECKS!$A$2:$A$2000,0)))</f>
        <v/>
      </c>
      <c r="C41" s="7" t="str">
        <f aca="false">IF(A41="","",SUMIFS(RECHECKS!$G$2:$G$2000,RECHECKS!$C$2:$C$2000,A41))</f>
        <v/>
      </c>
      <c r="D41" s="12" t="str">
        <f aca="false">IF(OR(A41="",C41=0),"",SUMIFS(RECHECKS!$F$2:$F$2000,RECHECKS!$C$2:$C$2000,A41,RECHECKS!$G$2:$G$2000,1)/(5*C41))</f>
        <v/>
      </c>
      <c r="E41" s="12" t="str">
        <f aca="false">IF(OR(A41="",C41=0),"",SUMIFS(RECHECKS!$D$2:$D$2000,RECHECKS!$C$2:$C$2000,A41,RECHECKS!$G$2:$G$2000,1)/(3*C41))</f>
        <v/>
      </c>
      <c r="F41" s="13" t="str">
        <f aca="false">IF(D41="","",(E41-D41)*100)</f>
        <v/>
      </c>
      <c r="G41" s="7" t="str">
        <f aca="false">IF(A41="","",INDEX(CHECKS!$F$2:$F$2000,MATCH(A41,CHECKS!$A$2:$A$2000,0))&amp;"")</f>
        <v/>
      </c>
      <c r="H41" s="7" t="str">
        <f aca="false">IF(OR(A41="",G41=""),"",SUMIFS(RECHECKS!$J$2:$J$2000,RECHECKS!$C$2:$C$2000,A41))</f>
        <v/>
      </c>
      <c r="I41" s="12" t="str">
        <f aca="false">IF(OR(H41="",H41=0),"",SUMIFS(RECHECKS!$I$2:$I$2000,RECHECKS!$C$2:$C$2000,A41,RECHECKS!$J$2:$J$2000,1)/(5*H41))</f>
        <v/>
      </c>
      <c r="J41" s="12" t="str">
        <f aca="false">IF(OR(H41="",H41=0),"",SUMIFS(RECHECKS!$E$2:$E$2000,RECHECKS!$C$2:$C$2000,A41,RECHECKS!$J$2:$J$2000,1)/(2*H41))</f>
        <v/>
      </c>
      <c r="K41" s="13" t="str">
        <f aca="false">IF(I41="","",(J41-I41)*100)</f>
        <v/>
      </c>
      <c r="L41" s="13" t="str">
        <f aca="false">IF(F41="","",IF(K41="",F41,F41-K41))</f>
        <v/>
      </c>
      <c r="M41" s="13" t="str">
        <f aca="false">IF(A41="","",(SUMIFS(SCORES!$D$2:$D$2000,SCORES!$C$2:$C$2000,A41)/(5*COUNTIFS(SCORES!$C$2:$C$2000,A41,SCORES!$D$2:$D$2000,"&gt;=0"))-SUMIFS(SCORES!$D$2:$D$2000,SCORES!$D$2:$D$2000,"&gt;=0")/(5*COUNTIFS(SCORES!$D$2:$D$2000,"&gt;=0")))*100)</f>
        <v/>
      </c>
      <c r="N41" s="13" t="str">
        <f aca="false">IF(B41="","",IFERROR(INDEX(UNITS!$E$2:$E$2000,MATCH(B41,UNITS!$A$2:$A$2000,0)),""))</f>
        <v/>
      </c>
      <c r="O41" s="12" t="str">
        <f aca="false">IF(A41="","",IFERROR(COUNTIFS(SCORES!$C$2:$C$2000,A41,SCORES!$B$2:$B$2000,"C",SCORES!$D$2:$D$2000,"&gt;=4")/COUNTIFS(SCORES!$C$2:$C$2000,A41,SCORES!$B$2:$B$2000,"C",SCORES!$D$2:$D$2000,"&gt;=0"),""))</f>
        <v/>
      </c>
      <c r="P41" s="12" t="str">
        <f aca="false">IF(A41="","",IFERROR(COUNTIFS(SCORES!$C$2:$C$2000,A41,SCORES!$B$2:$B$2000,"J",SCORES!$D$2:$D$2000,"&gt;=4")/COUNTIFS(SCORES!$C$2:$C$2000,A41,SCORES!$B$2:$B$2000,"J",SCORES!$D$2:$D$2000,"&gt;=0"),""))</f>
        <v/>
      </c>
      <c r="Q41" s="13" t="str">
        <f aca="false">IF(OR(O41="",P41=""),"",(O41-P41)*100)</f>
        <v/>
      </c>
    </row>
    <row r="42" customFormat="false" ht="15" hidden="false" customHeight="false" outlineLevel="0" collapsed="false">
      <c r="A42" s="10" t="str">
        <f aca="false" t="array" ref="A42:A42">IFERROR(INDEX(CHECKS!$A$2:$A$2000,SMALL(IF(CHECKS!$E$2:$E$2000="y",ROW(CHECKS!$E$2:$E$2000)-1),38)),"")</f>
        <v/>
      </c>
      <c r="B42" s="10" t="str">
        <f aca="false">IF(A42="","",INDEX(CHECKS!$C$2:$C$2000,MATCH(A42,CHECKS!$A$2:$A$2000,0)))</f>
        <v/>
      </c>
      <c r="C42" s="10" t="str">
        <f aca="false">IF(A42="","",SUMIFS(RECHECKS!$G$2:$G$2000,RECHECKS!$C$2:$C$2000,A42))</f>
        <v/>
      </c>
      <c r="D42" s="14" t="str">
        <f aca="false">IF(OR(A42="",C42=0),"",SUMIFS(RECHECKS!$F$2:$F$2000,RECHECKS!$C$2:$C$2000,A42,RECHECKS!$G$2:$G$2000,1)/(5*C42))</f>
        <v/>
      </c>
      <c r="E42" s="14" t="str">
        <f aca="false">IF(OR(A42="",C42=0),"",SUMIFS(RECHECKS!$D$2:$D$2000,RECHECKS!$C$2:$C$2000,A42,RECHECKS!$G$2:$G$2000,1)/(3*C42))</f>
        <v/>
      </c>
      <c r="F42" s="15" t="str">
        <f aca="false">IF(D42="","",(E42-D42)*100)</f>
        <v/>
      </c>
      <c r="G42" s="10" t="str">
        <f aca="false">IF(A42="","",INDEX(CHECKS!$F$2:$F$2000,MATCH(A42,CHECKS!$A$2:$A$2000,0))&amp;"")</f>
        <v/>
      </c>
      <c r="H42" s="10" t="str">
        <f aca="false">IF(OR(A42="",G42=""),"",SUMIFS(RECHECKS!$J$2:$J$2000,RECHECKS!$C$2:$C$2000,A42))</f>
        <v/>
      </c>
      <c r="I42" s="14" t="str">
        <f aca="false">IF(OR(H42="",H42=0),"",SUMIFS(RECHECKS!$I$2:$I$2000,RECHECKS!$C$2:$C$2000,A42,RECHECKS!$J$2:$J$2000,1)/(5*H42))</f>
        <v/>
      </c>
      <c r="J42" s="14" t="str">
        <f aca="false">IF(OR(H42="",H42=0),"",SUMIFS(RECHECKS!$E$2:$E$2000,RECHECKS!$C$2:$C$2000,A42,RECHECKS!$J$2:$J$2000,1)/(2*H42))</f>
        <v/>
      </c>
      <c r="K42" s="15" t="str">
        <f aca="false">IF(I42="","",(J42-I42)*100)</f>
        <v/>
      </c>
      <c r="L42" s="15" t="str">
        <f aca="false">IF(F42="","",IF(K42="",F42,F42-K42))</f>
        <v/>
      </c>
      <c r="M42" s="15" t="str">
        <f aca="false">IF(A42="","",(SUMIFS(SCORES!$D$2:$D$2000,SCORES!$C$2:$C$2000,A42)/(5*COUNTIFS(SCORES!$C$2:$C$2000,A42,SCORES!$D$2:$D$2000,"&gt;=0"))-SUMIFS(SCORES!$D$2:$D$2000,SCORES!$D$2:$D$2000,"&gt;=0")/(5*COUNTIFS(SCORES!$D$2:$D$2000,"&gt;=0")))*100)</f>
        <v/>
      </c>
      <c r="N42" s="15" t="str">
        <f aca="false">IF(B42="","",IFERROR(INDEX(UNITS!$E$2:$E$2000,MATCH(B42,UNITS!$A$2:$A$2000,0)),""))</f>
        <v/>
      </c>
      <c r="O42" s="14" t="str">
        <f aca="false">IF(A42="","",IFERROR(COUNTIFS(SCORES!$C$2:$C$2000,A42,SCORES!$B$2:$B$2000,"C",SCORES!$D$2:$D$2000,"&gt;=4")/COUNTIFS(SCORES!$C$2:$C$2000,A42,SCORES!$B$2:$B$2000,"C",SCORES!$D$2:$D$2000,"&gt;=0"),""))</f>
        <v/>
      </c>
      <c r="P42" s="14" t="str">
        <f aca="false">IF(A42="","",IFERROR(COUNTIFS(SCORES!$C$2:$C$2000,A42,SCORES!$B$2:$B$2000,"J",SCORES!$D$2:$D$2000,"&gt;=4")/COUNTIFS(SCORES!$C$2:$C$2000,A42,SCORES!$B$2:$B$2000,"J",SCORES!$D$2:$D$2000,"&gt;=0"),""))</f>
        <v/>
      </c>
      <c r="Q42" s="15" t="str">
        <f aca="false">IF(OR(O42="",P42=""),"",(O42-P42)*100)</f>
        <v/>
      </c>
    </row>
    <row r="43" customFormat="false" ht="15" hidden="false" customHeight="false" outlineLevel="0" collapsed="false">
      <c r="A43" s="7" t="str">
        <f aca="false" t="array" ref="A43:A43">IFERROR(INDEX(CHECKS!$A$2:$A$2000,SMALL(IF(CHECKS!$E$2:$E$2000="y",ROW(CHECKS!$E$2:$E$2000)-1),39)),"")</f>
        <v/>
      </c>
      <c r="B43" s="7" t="str">
        <f aca="false">IF(A43="","",INDEX(CHECKS!$C$2:$C$2000,MATCH(A43,CHECKS!$A$2:$A$2000,0)))</f>
        <v/>
      </c>
      <c r="C43" s="7" t="str">
        <f aca="false">IF(A43="","",SUMIFS(RECHECKS!$G$2:$G$2000,RECHECKS!$C$2:$C$2000,A43))</f>
        <v/>
      </c>
      <c r="D43" s="12" t="str">
        <f aca="false">IF(OR(A43="",C43=0),"",SUMIFS(RECHECKS!$F$2:$F$2000,RECHECKS!$C$2:$C$2000,A43,RECHECKS!$G$2:$G$2000,1)/(5*C43))</f>
        <v/>
      </c>
      <c r="E43" s="12" t="str">
        <f aca="false">IF(OR(A43="",C43=0),"",SUMIFS(RECHECKS!$D$2:$D$2000,RECHECKS!$C$2:$C$2000,A43,RECHECKS!$G$2:$G$2000,1)/(3*C43))</f>
        <v/>
      </c>
      <c r="F43" s="13" t="str">
        <f aca="false">IF(D43="","",(E43-D43)*100)</f>
        <v/>
      </c>
      <c r="G43" s="7" t="str">
        <f aca="false">IF(A43="","",INDEX(CHECKS!$F$2:$F$2000,MATCH(A43,CHECKS!$A$2:$A$2000,0))&amp;"")</f>
        <v/>
      </c>
      <c r="H43" s="7" t="str">
        <f aca="false">IF(OR(A43="",G43=""),"",SUMIFS(RECHECKS!$J$2:$J$2000,RECHECKS!$C$2:$C$2000,A43))</f>
        <v/>
      </c>
      <c r="I43" s="12" t="str">
        <f aca="false">IF(OR(H43="",H43=0),"",SUMIFS(RECHECKS!$I$2:$I$2000,RECHECKS!$C$2:$C$2000,A43,RECHECKS!$J$2:$J$2000,1)/(5*H43))</f>
        <v/>
      </c>
      <c r="J43" s="12" t="str">
        <f aca="false">IF(OR(H43="",H43=0),"",SUMIFS(RECHECKS!$E$2:$E$2000,RECHECKS!$C$2:$C$2000,A43,RECHECKS!$J$2:$J$2000,1)/(2*H43))</f>
        <v/>
      </c>
      <c r="K43" s="13" t="str">
        <f aca="false">IF(I43="","",(J43-I43)*100)</f>
        <v/>
      </c>
      <c r="L43" s="13" t="str">
        <f aca="false">IF(F43="","",IF(K43="",F43,F43-K43))</f>
        <v/>
      </c>
      <c r="M43" s="13" t="str">
        <f aca="false">IF(A43="","",(SUMIFS(SCORES!$D$2:$D$2000,SCORES!$C$2:$C$2000,A43)/(5*COUNTIFS(SCORES!$C$2:$C$2000,A43,SCORES!$D$2:$D$2000,"&gt;=0"))-SUMIFS(SCORES!$D$2:$D$2000,SCORES!$D$2:$D$2000,"&gt;=0")/(5*COUNTIFS(SCORES!$D$2:$D$2000,"&gt;=0")))*100)</f>
        <v/>
      </c>
      <c r="N43" s="13" t="str">
        <f aca="false">IF(B43="","",IFERROR(INDEX(UNITS!$E$2:$E$2000,MATCH(B43,UNITS!$A$2:$A$2000,0)),""))</f>
        <v/>
      </c>
      <c r="O43" s="12" t="str">
        <f aca="false">IF(A43="","",IFERROR(COUNTIFS(SCORES!$C$2:$C$2000,A43,SCORES!$B$2:$B$2000,"C",SCORES!$D$2:$D$2000,"&gt;=4")/COUNTIFS(SCORES!$C$2:$C$2000,A43,SCORES!$B$2:$B$2000,"C",SCORES!$D$2:$D$2000,"&gt;=0"),""))</f>
        <v/>
      </c>
      <c r="P43" s="12" t="str">
        <f aca="false">IF(A43="","",IFERROR(COUNTIFS(SCORES!$C$2:$C$2000,A43,SCORES!$B$2:$B$2000,"J",SCORES!$D$2:$D$2000,"&gt;=4")/COUNTIFS(SCORES!$C$2:$C$2000,A43,SCORES!$B$2:$B$2000,"J",SCORES!$D$2:$D$2000,"&gt;=0"),""))</f>
        <v/>
      </c>
      <c r="Q43" s="13" t="str">
        <f aca="false">IF(OR(O43="",P43=""),"",(O43-P43)*100)</f>
        <v/>
      </c>
    </row>
    <row r="44" customFormat="false" ht="15" hidden="false" customHeight="false" outlineLevel="0" collapsed="false">
      <c r="A44" s="10" t="str">
        <f aca="false" t="array" ref="A44:A44">IFERROR(INDEX(CHECKS!$A$2:$A$2000,SMALL(IF(CHECKS!$E$2:$E$2000="y",ROW(CHECKS!$E$2:$E$2000)-1),40)),"")</f>
        <v/>
      </c>
      <c r="B44" s="10" t="str">
        <f aca="false">IF(A44="","",INDEX(CHECKS!$C$2:$C$2000,MATCH(A44,CHECKS!$A$2:$A$2000,0)))</f>
        <v/>
      </c>
      <c r="C44" s="10" t="str">
        <f aca="false">IF(A44="","",SUMIFS(RECHECKS!$G$2:$G$2000,RECHECKS!$C$2:$C$2000,A44))</f>
        <v/>
      </c>
      <c r="D44" s="14" t="str">
        <f aca="false">IF(OR(A44="",C44=0),"",SUMIFS(RECHECKS!$F$2:$F$2000,RECHECKS!$C$2:$C$2000,A44,RECHECKS!$G$2:$G$2000,1)/(5*C44))</f>
        <v/>
      </c>
      <c r="E44" s="14" t="str">
        <f aca="false">IF(OR(A44="",C44=0),"",SUMIFS(RECHECKS!$D$2:$D$2000,RECHECKS!$C$2:$C$2000,A44,RECHECKS!$G$2:$G$2000,1)/(3*C44))</f>
        <v/>
      </c>
      <c r="F44" s="15" t="str">
        <f aca="false">IF(D44="","",(E44-D44)*100)</f>
        <v/>
      </c>
      <c r="G44" s="10" t="str">
        <f aca="false">IF(A44="","",INDEX(CHECKS!$F$2:$F$2000,MATCH(A44,CHECKS!$A$2:$A$2000,0))&amp;"")</f>
        <v/>
      </c>
      <c r="H44" s="10" t="str">
        <f aca="false">IF(OR(A44="",G44=""),"",SUMIFS(RECHECKS!$J$2:$J$2000,RECHECKS!$C$2:$C$2000,A44))</f>
        <v/>
      </c>
      <c r="I44" s="14" t="str">
        <f aca="false">IF(OR(H44="",H44=0),"",SUMIFS(RECHECKS!$I$2:$I$2000,RECHECKS!$C$2:$C$2000,A44,RECHECKS!$J$2:$J$2000,1)/(5*H44))</f>
        <v/>
      </c>
      <c r="J44" s="14" t="str">
        <f aca="false">IF(OR(H44="",H44=0),"",SUMIFS(RECHECKS!$E$2:$E$2000,RECHECKS!$C$2:$C$2000,A44,RECHECKS!$J$2:$J$2000,1)/(2*H44))</f>
        <v/>
      </c>
      <c r="K44" s="15" t="str">
        <f aca="false">IF(I44="","",(J44-I44)*100)</f>
        <v/>
      </c>
      <c r="L44" s="15" t="str">
        <f aca="false">IF(F44="","",IF(K44="",F44,F44-K44))</f>
        <v/>
      </c>
      <c r="M44" s="15" t="str">
        <f aca="false">IF(A44="","",(SUMIFS(SCORES!$D$2:$D$2000,SCORES!$C$2:$C$2000,A44)/(5*COUNTIFS(SCORES!$C$2:$C$2000,A44,SCORES!$D$2:$D$2000,"&gt;=0"))-SUMIFS(SCORES!$D$2:$D$2000,SCORES!$D$2:$D$2000,"&gt;=0")/(5*COUNTIFS(SCORES!$D$2:$D$2000,"&gt;=0")))*100)</f>
        <v/>
      </c>
      <c r="N44" s="15" t="str">
        <f aca="false">IF(B44="","",IFERROR(INDEX(UNITS!$E$2:$E$2000,MATCH(B44,UNITS!$A$2:$A$2000,0)),""))</f>
        <v/>
      </c>
      <c r="O44" s="14" t="str">
        <f aca="false">IF(A44="","",IFERROR(COUNTIFS(SCORES!$C$2:$C$2000,A44,SCORES!$B$2:$B$2000,"C",SCORES!$D$2:$D$2000,"&gt;=4")/COUNTIFS(SCORES!$C$2:$C$2000,A44,SCORES!$B$2:$B$2000,"C",SCORES!$D$2:$D$2000,"&gt;=0"),""))</f>
        <v/>
      </c>
      <c r="P44" s="14" t="str">
        <f aca="false">IF(A44="","",IFERROR(COUNTIFS(SCORES!$C$2:$C$2000,A44,SCORES!$B$2:$B$2000,"J",SCORES!$D$2:$D$2000,"&gt;=4")/COUNTIFS(SCORES!$C$2:$C$2000,A44,SCORES!$B$2:$B$2000,"J",SCORES!$D$2:$D$2000,"&gt;=0"),""))</f>
        <v/>
      </c>
      <c r="Q44" s="15" t="str">
        <f aca="false">IF(OR(O44="",P44=""),"",(O44-P44)*100)</f>
        <v/>
      </c>
    </row>
    <row r="45" customFormat="false" ht="15" hidden="false" customHeight="false" outlineLevel="0" collapsed="false">
      <c r="A45" s="7" t="str">
        <f aca="false" t="array" ref="A45:A45">IFERROR(INDEX(CHECKS!$A$2:$A$2000,SMALL(IF(CHECKS!$E$2:$E$2000="y",ROW(CHECKS!$E$2:$E$2000)-1),41)),"")</f>
        <v/>
      </c>
      <c r="B45" s="7" t="str">
        <f aca="false">IF(A45="","",INDEX(CHECKS!$C$2:$C$2000,MATCH(A45,CHECKS!$A$2:$A$2000,0)))</f>
        <v/>
      </c>
      <c r="C45" s="7" t="str">
        <f aca="false">IF(A45="","",SUMIFS(RECHECKS!$G$2:$G$2000,RECHECKS!$C$2:$C$2000,A45))</f>
        <v/>
      </c>
      <c r="D45" s="12" t="str">
        <f aca="false">IF(OR(A45="",C45=0),"",SUMIFS(RECHECKS!$F$2:$F$2000,RECHECKS!$C$2:$C$2000,A45,RECHECKS!$G$2:$G$2000,1)/(5*C45))</f>
        <v/>
      </c>
      <c r="E45" s="12" t="str">
        <f aca="false">IF(OR(A45="",C45=0),"",SUMIFS(RECHECKS!$D$2:$D$2000,RECHECKS!$C$2:$C$2000,A45,RECHECKS!$G$2:$G$2000,1)/(3*C45))</f>
        <v/>
      </c>
      <c r="F45" s="13" t="str">
        <f aca="false">IF(D45="","",(E45-D45)*100)</f>
        <v/>
      </c>
      <c r="G45" s="7" t="str">
        <f aca="false">IF(A45="","",INDEX(CHECKS!$F$2:$F$2000,MATCH(A45,CHECKS!$A$2:$A$2000,0))&amp;"")</f>
        <v/>
      </c>
      <c r="H45" s="7" t="str">
        <f aca="false">IF(OR(A45="",G45=""),"",SUMIFS(RECHECKS!$J$2:$J$2000,RECHECKS!$C$2:$C$2000,A45))</f>
        <v/>
      </c>
      <c r="I45" s="12" t="str">
        <f aca="false">IF(OR(H45="",H45=0),"",SUMIFS(RECHECKS!$I$2:$I$2000,RECHECKS!$C$2:$C$2000,A45,RECHECKS!$J$2:$J$2000,1)/(5*H45))</f>
        <v/>
      </c>
      <c r="J45" s="12" t="str">
        <f aca="false">IF(OR(H45="",H45=0),"",SUMIFS(RECHECKS!$E$2:$E$2000,RECHECKS!$C$2:$C$2000,A45,RECHECKS!$J$2:$J$2000,1)/(2*H45))</f>
        <v/>
      </c>
      <c r="K45" s="13" t="str">
        <f aca="false">IF(I45="","",(J45-I45)*100)</f>
        <v/>
      </c>
      <c r="L45" s="13" t="str">
        <f aca="false">IF(F45="","",IF(K45="",F45,F45-K45))</f>
        <v/>
      </c>
      <c r="M45" s="13" t="str">
        <f aca="false">IF(A45="","",(SUMIFS(SCORES!$D$2:$D$2000,SCORES!$C$2:$C$2000,A45)/(5*COUNTIFS(SCORES!$C$2:$C$2000,A45,SCORES!$D$2:$D$2000,"&gt;=0"))-SUMIFS(SCORES!$D$2:$D$2000,SCORES!$D$2:$D$2000,"&gt;=0")/(5*COUNTIFS(SCORES!$D$2:$D$2000,"&gt;=0")))*100)</f>
        <v/>
      </c>
      <c r="N45" s="13" t="str">
        <f aca="false">IF(B45="","",IFERROR(INDEX(UNITS!$E$2:$E$2000,MATCH(B45,UNITS!$A$2:$A$2000,0)),""))</f>
        <v/>
      </c>
      <c r="O45" s="12" t="str">
        <f aca="false">IF(A45="","",IFERROR(COUNTIFS(SCORES!$C$2:$C$2000,A45,SCORES!$B$2:$B$2000,"C",SCORES!$D$2:$D$2000,"&gt;=4")/COUNTIFS(SCORES!$C$2:$C$2000,A45,SCORES!$B$2:$B$2000,"C",SCORES!$D$2:$D$2000,"&gt;=0"),""))</f>
        <v/>
      </c>
      <c r="P45" s="12" t="str">
        <f aca="false">IF(A45="","",IFERROR(COUNTIFS(SCORES!$C$2:$C$2000,A45,SCORES!$B$2:$B$2000,"J",SCORES!$D$2:$D$2000,"&gt;=4")/COUNTIFS(SCORES!$C$2:$C$2000,A45,SCORES!$B$2:$B$2000,"J",SCORES!$D$2:$D$2000,"&gt;=0"),""))</f>
        <v/>
      </c>
      <c r="Q45" s="13" t="str">
        <f aca="false">IF(OR(O45="",P45=""),"",(O45-P45)*100)</f>
        <v/>
      </c>
    </row>
    <row r="46" customFormat="false" ht="15" hidden="false" customHeight="false" outlineLevel="0" collapsed="false">
      <c r="A46" s="10" t="str">
        <f aca="false" t="array" ref="A46:A46">IFERROR(INDEX(CHECKS!$A$2:$A$2000,SMALL(IF(CHECKS!$E$2:$E$2000="y",ROW(CHECKS!$E$2:$E$2000)-1),42)),"")</f>
        <v/>
      </c>
      <c r="B46" s="10" t="str">
        <f aca="false">IF(A46="","",INDEX(CHECKS!$C$2:$C$2000,MATCH(A46,CHECKS!$A$2:$A$2000,0)))</f>
        <v/>
      </c>
      <c r="C46" s="10" t="str">
        <f aca="false">IF(A46="","",SUMIFS(RECHECKS!$G$2:$G$2000,RECHECKS!$C$2:$C$2000,A46))</f>
        <v/>
      </c>
      <c r="D46" s="14" t="str">
        <f aca="false">IF(OR(A46="",C46=0),"",SUMIFS(RECHECKS!$F$2:$F$2000,RECHECKS!$C$2:$C$2000,A46,RECHECKS!$G$2:$G$2000,1)/(5*C46))</f>
        <v/>
      </c>
      <c r="E46" s="14" t="str">
        <f aca="false">IF(OR(A46="",C46=0),"",SUMIFS(RECHECKS!$D$2:$D$2000,RECHECKS!$C$2:$C$2000,A46,RECHECKS!$G$2:$G$2000,1)/(3*C46))</f>
        <v/>
      </c>
      <c r="F46" s="15" t="str">
        <f aca="false">IF(D46="","",(E46-D46)*100)</f>
        <v/>
      </c>
      <c r="G46" s="10" t="str">
        <f aca="false">IF(A46="","",INDEX(CHECKS!$F$2:$F$2000,MATCH(A46,CHECKS!$A$2:$A$2000,0))&amp;"")</f>
        <v/>
      </c>
      <c r="H46" s="10" t="str">
        <f aca="false">IF(OR(A46="",G46=""),"",SUMIFS(RECHECKS!$J$2:$J$2000,RECHECKS!$C$2:$C$2000,A46))</f>
        <v/>
      </c>
      <c r="I46" s="14" t="str">
        <f aca="false">IF(OR(H46="",H46=0),"",SUMIFS(RECHECKS!$I$2:$I$2000,RECHECKS!$C$2:$C$2000,A46,RECHECKS!$J$2:$J$2000,1)/(5*H46))</f>
        <v/>
      </c>
      <c r="J46" s="14" t="str">
        <f aca="false">IF(OR(H46="",H46=0),"",SUMIFS(RECHECKS!$E$2:$E$2000,RECHECKS!$C$2:$C$2000,A46,RECHECKS!$J$2:$J$2000,1)/(2*H46))</f>
        <v/>
      </c>
      <c r="K46" s="15" t="str">
        <f aca="false">IF(I46="","",(J46-I46)*100)</f>
        <v/>
      </c>
      <c r="L46" s="15" t="str">
        <f aca="false">IF(F46="","",IF(K46="",F46,F46-K46))</f>
        <v/>
      </c>
      <c r="M46" s="15" t="str">
        <f aca="false">IF(A46="","",(SUMIFS(SCORES!$D$2:$D$2000,SCORES!$C$2:$C$2000,A46)/(5*COUNTIFS(SCORES!$C$2:$C$2000,A46,SCORES!$D$2:$D$2000,"&gt;=0"))-SUMIFS(SCORES!$D$2:$D$2000,SCORES!$D$2:$D$2000,"&gt;=0")/(5*COUNTIFS(SCORES!$D$2:$D$2000,"&gt;=0")))*100)</f>
        <v/>
      </c>
      <c r="N46" s="15" t="str">
        <f aca="false">IF(B46="","",IFERROR(INDEX(UNITS!$E$2:$E$2000,MATCH(B46,UNITS!$A$2:$A$2000,0)),""))</f>
        <v/>
      </c>
      <c r="O46" s="14" t="str">
        <f aca="false">IF(A46="","",IFERROR(COUNTIFS(SCORES!$C$2:$C$2000,A46,SCORES!$B$2:$B$2000,"C",SCORES!$D$2:$D$2000,"&gt;=4")/COUNTIFS(SCORES!$C$2:$C$2000,A46,SCORES!$B$2:$B$2000,"C",SCORES!$D$2:$D$2000,"&gt;=0"),""))</f>
        <v/>
      </c>
      <c r="P46" s="14" t="str">
        <f aca="false">IF(A46="","",IFERROR(COUNTIFS(SCORES!$C$2:$C$2000,A46,SCORES!$B$2:$B$2000,"J",SCORES!$D$2:$D$2000,"&gt;=4")/COUNTIFS(SCORES!$C$2:$C$2000,A46,SCORES!$B$2:$B$2000,"J",SCORES!$D$2:$D$2000,"&gt;=0"),""))</f>
        <v/>
      </c>
      <c r="Q46" s="15" t="str">
        <f aca="false">IF(OR(O46="",P46=""),"",(O46-P46)*100)</f>
        <v/>
      </c>
    </row>
    <row r="47" customFormat="false" ht="15" hidden="false" customHeight="false" outlineLevel="0" collapsed="false">
      <c r="A47" s="7" t="str">
        <f aca="false" t="array" ref="A47:A47">IFERROR(INDEX(CHECKS!$A$2:$A$2000,SMALL(IF(CHECKS!$E$2:$E$2000="y",ROW(CHECKS!$E$2:$E$2000)-1),43)),"")</f>
        <v/>
      </c>
      <c r="B47" s="7" t="str">
        <f aca="false">IF(A47="","",INDEX(CHECKS!$C$2:$C$2000,MATCH(A47,CHECKS!$A$2:$A$2000,0)))</f>
        <v/>
      </c>
      <c r="C47" s="7" t="str">
        <f aca="false">IF(A47="","",SUMIFS(RECHECKS!$G$2:$G$2000,RECHECKS!$C$2:$C$2000,A47))</f>
        <v/>
      </c>
      <c r="D47" s="12" t="str">
        <f aca="false">IF(OR(A47="",C47=0),"",SUMIFS(RECHECKS!$F$2:$F$2000,RECHECKS!$C$2:$C$2000,A47,RECHECKS!$G$2:$G$2000,1)/(5*C47))</f>
        <v/>
      </c>
      <c r="E47" s="12" t="str">
        <f aca="false">IF(OR(A47="",C47=0),"",SUMIFS(RECHECKS!$D$2:$D$2000,RECHECKS!$C$2:$C$2000,A47,RECHECKS!$G$2:$G$2000,1)/(3*C47))</f>
        <v/>
      </c>
      <c r="F47" s="13" t="str">
        <f aca="false">IF(D47="","",(E47-D47)*100)</f>
        <v/>
      </c>
      <c r="G47" s="7" t="str">
        <f aca="false">IF(A47="","",INDEX(CHECKS!$F$2:$F$2000,MATCH(A47,CHECKS!$A$2:$A$2000,0))&amp;"")</f>
        <v/>
      </c>
      <c r="H47" s="7" t="str">
        <f aca="false">IF(OR(A47="",G47=""),"",SUMIFS(RECHECKS!$J$2:$J$2000,RECHECKS!$C$2:$C$2000,A47))</f>
        <v/>
      </c>
      <c r="I47" s="12" t="str">
        <f aca="false">IF(OR(H47="",H47=0),"",SUMIFS(RECHECKS!$I$2:$I$2000,RECHECKS!$C$2:$C$2000,A47,RECHECKS!$J$2:$J$2000,1)/(5*H47))</f>
        <v/>
      </c>
      <c r="J47" s="12" t="str">
        <f aca="false">IF(OR(H47="",H47=0),"",SUMIFS(RECHECKS!$E$2:$E$2000,RECHECKS!$C$2:$C$2000,A47,RECHECKS!$J$2:$J$2000,1)/(2*H47))</f>
        <v/>
      </c>
      <c r="K47" s="13" t="str">
        <f aca="false">IF(I47="","",(J47-I47)*100)</f>
        <v/>
      </c>
      <c r="L47" s="13" t="str">
        <f aca="false">IF(F47="","",IF(K47="",F47,F47-K47))</f>
        <v/>
      </c>
      <c r="M47" s="13" t="str">
        <f aca="false">IF(A47="","",(SUMIFS(SCORES!$D$2:$D$2000,SCORES!$C$2:$C$2000,A47)/(5*COUNTIFS(SCORES!$C$2:$C$2000,A47,SCORES!$D$2:$D$2000,"&gt;=0"))-SUMIFS(SCORES!$D$2:$D$2000,SCORES!$D$2:$D$2000,"&gt;=0")/(5*COUNTIFS(SCORES!$D$2:$D$2000,"&gt;=0")))*100)</f>
        <v/>
      </c>
      <c r="N47" s="13" t="str">
        <f aca="false">IF(B47="","",IFERROR(INDEX(UNITS!$E$2:$E$2000,MATCH(B47,UNITS!$A$2:$A$2000,0)),""))</f>
        <v/>
      </c>
      <c r="O47" s="12" t="str">
        <f aca="false">IF(A47="","",IFERROR(COUNTIFS(SCORES!$C$2:$C$2000,A47,SCORES!$B$2:$B$2000,"C",SCORES!$D$2:$D$2000,"&gt;=4")/COUNTIFS(SCORES!$C$2:$C$2000,A47,SCORES!$B$2:$B$2000,"C",SCORES!$D$2:$D$2000,"&gt;=0"),""))</f>
        <v/>
      </c>
      <c r="P47" s="12" t="str">
        <f aca="false">IF(A47="","",IFERROR(COUNTIFS(SCORES!$C$2:$C$2000,A47,SCORES!$B$2:$B$2000,"J",SCORES!$D$2:$D$2000,"&gt;=4")/COUNTIFS(SCORES!$C$2:$C$2000,A47,SCORES!$B$2:$B$2000,"J",SCORES!$D$2:$D$2000,"&gt;=0"),""))</f>
        <v/>
      </c>
      <c r="Q47" s="13" t="str">
        <f aca="false">IF(OR(O47="",P47=""),"",(O47-P47)*100)</f>
        <v/>
      </c>
    </row>
    <row r="48" customFormat="false" ht="15" hidden="false" customHeight="false" outlineLevel="0" collapsed="false">
      <c r="A48" s="10" t="str">
        <f aca="false" t="array" ref="A48:A48">IFERROR(INDEX(CHECKS!$A$2:$A$2000,SMALL(IF(CHECKS!$E$2:$E$2000="y",ROW(CHECKS!$E$2:$E$2000)-1),44)),"")</f>
        <v/>
      </c>
      <c r="B48" s="10" t="str">
        <f aca="false">IF(A48="","",INDEX(CHECKS!$C$2:$C$2000,MATCH(A48,CHECKS!$A$2:$A$2000,0)))</f>
        <v/>
      </c>
      <c r="C48" s="10" t="str">
        <f aca="false">IF(A48="","",SUMIFS(RECHECKS!$G$2:$G$2000,RECHECKS!$C$2:$C$2000,A48))</f>
        <v/>
      </c>
      <c r="D48" s="14" t="str">
        <f aca="false">IF(OR(A48="",C48=0),"",SUMIFS(RECHECKS!$F$2:$F$2000,RECHECKS!$C$2:$C$2000,A48,RECHECKS!$G$2:$G$2000,1)/(5*C48))</f>
        <v/>
      </c>
      <c r="E48" s="14" t="str">
        <f aca="false">IF(OR(A48="",C48=0),"",SUMIFS(RECHECKS!$D$2:$D$2000,RECHECKS!$C$2:$C$2000,A48,RECHECKS!$G$2:$G$2000,1)/(3*C48))</f>
        <v/>
      </c>
      <c r="F48" s="15" t="str">
        <f aca="false">IF(D48="","",(E48-D48)*100)</f>
        <v/>
      </c>
      <c r="G48" s="10" t="str">
        <f aca="false">IF(A48="","",INDEX(CHECKS!$F$2:$F$2000,MATCH(A48,CHECKS!$A$2:$A$2000,0))&amp;"")</f>
        <v/>
      </c>
      <c r="H48" s="10" t="str">
        <f aca="false">IF(OR(A48="",G48=""),"",SUMIFS(RECHECKS!$J$2:$J$2000,RECHECKS!$C$2:$C$2000,A48))</f>
        <v/>
      </c>
      <c r="I48" s="14" t="str">
        <f aca="false">IF(OR(H48="",H48=0),"",SUMIFS(RECHECKS!$I$2:$I$2000,RECHECKS!$C$2:$C$2000,A48,RECHECKS!$J$2:$J$2000,1)/(5*H48))</f>
        <v/>
      </c>
      <c r="J48" s="14" t="str">
        <f aca="false">IF(OR(H48="",H48=0),"",SUMIFS(RECHECKS!$E$2:$E$2000,RECHECKS!$C$2:$C$2000,A48,RECHECKS!$J$2:$J$2000,1)/(2*H48))</f>
        <v/>
      </c>
      <c r="K48" s="15" t="str">
        <f aca="false">IF(I48="","",(J48-I48)*100)</f>
        <v/>
      </c>
      <c r="L48" s="15" t="str">
        <f aca="false">IF(F48="","",IF(K48="",F48,F48-K48))</f>
        <v/>
      </c>
      <c r="M48" s="15" t="str">
        <f aca="false">IF(A48="","",(SUMIFS(SCORES!$D$2:$D$2000,SCORES!$C$2:$C$2000,A48)/(5*COUNTIFS(SCORES!$C$2:$C$2000,A48,SCORES!$D$2:$D$2000,"&gt;=0"))-SUMIFS(SCORES!$D$2:$D$2000,SCORES!$D$2:$D$2000,"&gt;=0")/(5*COUNTIFS(SCORES!$D$2:$D$2000,"&gt;=0")))*100)</f>
        <v/>
      </c>
      <c r="N48" s="15" t="str">
        <f aca="false">IF(B48="","",IFERROR(INDEX(UNITS!$E$2:$E$2000,MATCH(B48,UNITS!$A$2:$A$2000,0)),""))</f>
        <v/>
      </c>
      <c r="O48" s="14" t="str">
        <f aca="false">IF(A48="","",IFERROR(COUNTIFS(SCORES!$C$2:$C$2000,A48,SCORES!$B$2:$B$2000,"C",SCORES!$D$2:$D$2000,"&gt;=4")/COUNTIFS(SCORES!$C$2:$C$2000,A48,SCORES!$B$2:$B$2000,"C",SCORES!$D$2:$D$2000,"&gt;=0"),""))</f>
        <v/>
      </c>
      <c r="P48" s="14" t="str">
        <f aca="false">IF(A48="","",IFERROR(COUNTIFS(SCORES!$C$2:$C$2000,A48,SCORES!$B$2:$B$2000,"J",SCORES!$D$2:$D$2000,"&gt;=4")/COUNTIFS(SCORES!$C$2:$C$2000,A48,SCORES!$B$2:$B$2000,"J",SCORES!$D$2:$D$2000,"&gt;=0"),""))</f>
        <v/>
      </c>
      <c r="Q48" s="15" t="str">
        <f aca="false">IF(OR(O48="",P48=""),"",(O48-P48)*100)</f>
        <v/>
      </c>
    </row>
    <row r="49" customFormat="false" ht="15" hidden="false" customHeight="false" outlineLevel="0" collapsed="false">
      <c r="A49" s="7" t="str">
        <f aca="false" t="array" ref="A49:A49">IFERROR(INDEX(CHECKS!$A$2:$A$2000,SMALL(IF(CHECKS!$E$2:$E$2000="y",ROW(CHECKS!$E$2:$E$2000)-1),45)),"")</f>
        <v/>
      </c>
      <c r="B49" s="7" t="str">
        <f aca="false">IF(A49="","",INDEX(CHECKS!$C$2:$C$2000,MATCH(A49,CHECKS!$A$2:$A$2000,0)))</f>
        <v/>
      </c>
      <c r="C49" s="7" t="str">
        <f aca="false">IF(A49="","",SUMIFS(RECHECKS!$G$2:$G$2000,RECHECKS!$C$2:$C$2000,A49))</f>
        <v/>
      </c>
      <c r="D49" s="12" t="str">
        <f aca="false">IF(OR(A49="",C49=0),"",SUMIFS(RECHECKS!$F$2:$F$2000,RECHECKS!$C$2:$C$2000,A49,RECHECKS!$G$2:$G$2000,1)/(5*C49))</f>
        <v/>
      </c>
      <c r="E49" s="12" t="str">
        <f aca="false">IF(OR(A49="",C49=0),"",SUMIFS(RECHECKS!$D$2:$D$2000,RECHECKS!$C$2:$C$2000,A49,RECHECKS!$G$2:$G$2000,1)/(3*C49))</f>
        <v/>
      </c>
      <c r="F49" s="13" t="str">
        <f aca="false">IF(D49="","",(E49-D49)*100)</f>
        <v/>
      </c>
      <c r="G49" s="7" t="str">
        <f aca="false">IF(A49="","",INDEX(CHECKS!$F$2:$F$2000,MATCH(A49,CHECKS!$A$2:$A$2000,0))&amp;"")</f>
        <v/>
      </c>
      <c r="H49" s="7" t="str">
        <f aca="false">IF(OR(A49="",G49=""),"",SUMIFS(RECHECKS!$J$2:$J$2000,RECHECKS!$C$2:$C$2000,A49))</f>
        <v/>
      </c>
      <c r="I49" s="12" t="str">
        <f aca="false">IF(OR(H49="",H49=0),"",SUMIFS(RECHECKS!$I$2:$I$2000,RECHECKS!$C$2:$C$2000,A49,RECHECKS!$J$2:$J$2000,1)/(5*H49))</f>
        <v/>
      </c>
      <c r="J49" s="12" t="str">
        <f aca="false">IF(OR(H49="",H49=0),"",SUMIFS(RECHECKS!$E$2:$E$2000,RECHECKS!$C$2:$C$2000,A49,RECHECKS!$J$2:$J$2000,1)/(2*H49))</f>
        <v/>
      </c>
      <c r="K49" s="13" t="str">
        <f aca="false">IF(I49="","",(J49-I49)*100)</f>
        <v/>
      </c>
      <c r="L49" s="13" t="str">
        <f aca="false">IF(F49="","",IF(K49="",F49,F49-K49))</f>
        <v/>
      </c>
      <c r="M49" s="13" t="str">
        <f aca="false">IF(A49="","",(SUMIFS(SCORES!$D$2:$D$2000,SCORES!$C$2:$C$2000,A49)/(5*COUNTIFS(SCORES!$C$2:$C$2000,A49,SCORES!$D$2:$D$2000,"&gt;=0"))-SUMIFS(SCORES!$D$2:$D$2000,SCORES!$D$2:$D$2000,"&gt;=0")/(5*COUNTIFS(SCORES!$D$2:$D$2000,"&gt;=0")))*100)</f>
        <v/>
      </c>
      <c r="N49" s="13" t="str">
        <f aca="false">IF(B49="","",IFERROR(INDEX(UNITS!$E$2:$E$2000,MATCH(B49,UNITS!$A$2:$A$2000,0)),""))</f>
        <v/>
      </c>
      <c r="O49" s="12" t="str">
        <f aca="false">IF(A49="","",IFERROR(COUNTIFS(SCORES!$C$2:$C$2000,A49,SCORES!$B$2:$B$2000,"C",SCORES!$D$2:$D$2000,"&gt;=4")/COUNTIFS(SCORES!$C$2:$C$2000,A49,SCORES!$B$2:$B$2000,"C",SCORES!$D$2:$D$2000,"&gt;=0"),""))</f>
        <v/>
      </c>
      <c r="P49" s="12" t="str">
        <f aca="false">IF(A49="","",IFERROR(COUNTIFS(SCORES!$C$2:$C$2000,A49,SCORES!$B$2:$B$2000,"J",SCORES!$D$2:$D$2000,"&gt;=4")/COUNTIFS(SCORES!$C$2:$C$2000,A49,SCORES!$B$2:$B$2000,"J",SCORES!$D$2:$D$2000,"&gt;=0"),""))</f>
        <v/>
      </c>
      <c r="Q49" s="13" t="str">
        <f aca="false">IF(OR(O49="",P49=""),"",(O49-P49)*100)</f>
        <v/>
      </c>
    </row>
    <row r="50" customFormat="false" ht="15" hidden="false" customHeight="false" outlineLevel="0" collapsed="false">
      <c r="A50" s="10" t="str">
        <f aca="false" t="array" ref="A50:A50">IFERROR(INDEX(CHECKS!$A$2:$A$2000,SMALL(IF(CHECKS!$E$2:$E$2000="y",ROW(CHECKS!$E$2:$E$2000)-1),46)),"")</f>
        <v/>
      </c>
      <c r="B50" s="10" t="str">
        <f aca="false">IF(A50="","",INDEX(CHECKS!$C$2:$C$2000,MATCH(A50,CHECKS!$A$2:$A$2000,0)))</f>
        <v/>
      </c>
      <c r="C50" s="10" t="str">
        <f aca="false">IF(A50="","",SUMIFS(RECHECKS!$G$2:$G$2000,RECHECKS!$C$2:$C$2000,A50))</f>
        <v/>
      </c>
      <c r="D50" s="14" t="str">
        <f aca="false">IF(OR(A50="",C50=0),"",SUMIFS(RECHECKS!$F$2:$F$2000,RECHECKS!$C$2:$C$2000,A50,RECHECKS!$G$2:$G$2000,1)/(5*C50))</f>
        <v/>
      </c>
      <c r="E50" s="14" t="str">
        <f aca="false">IF(OR(A50="",C50=0),"",SUMIFS(RECHECKS!$D$2:$D$2000,RECHECKS!$C$2:$C$2000,A50,RECHECKS!$G$2:$G$2000,1)/(3*C50))</f>
        <v/>
      </c>
      <c r="F50" s="15" t="str">
        <f aca="false">IF(D50="","",(E50-D50)*100)</f>
        <v/>
      </c>
      <c r="G50" s="10" t="str">
        <f aca="false">IF(A50="","",INDEX(CHECKS!$F$2:$F$2000,MATCH(A50,CHECKS!$A$2:$A$2000,0))&amp;"")</f>
        <v/>
      </c>
      <c r="H50" s="10" t="str">
        <f aca="false">IF(OR(A50="",G50=""),"",SUMIFS(RECHECKS!$J$2:$J$2000,RECHECKS!$C$2:$C$2000,A50))</f>
        <v/>
      </c>
      <c r="I50" s="14" t="str">
        <f aca="false">IF(OR(H50="",H50=0),"",SUMIFS(RECHECKS!$I$2:$I$2000,RECHECKS!$C$2:$C$2000,A50,RECHECKS!$J$2:$J$2000,1)/(5*H50))</f>
        <v/>
      </c>
      <c r="J50" s="14" t="str">
        <f aca="false">IF(OR(H50="",H50=0),"",SUMIFS(RECHECKS!$E$2:$E$2000,RECHECKS!$C$2:$C$2000,A50,RECHECKS!$J$2:$J$2000,1)/(2*H50))</f>
        <v/>
      </c>
      <c r="K50" s="15" t="str">
        <f aca="false">IF(I50="","",(J50-I50)*100)</f>
        <v/>
      </c>
      <c r="L50" s="15" t="str">
        <f aca="false">IF(F50="","",IF(K50="",F50,F50-K50))</f>
        <v/>
      </c>
      <c r="M50" s="15" t="str">
        <f aca="false">IF(A50="","",(SUMIFS(SCORES!$D$2:$D$2000,SCORES!$C$2:$C$2000,A50)/(5*COUNTIFS(SCORES!$C$2:$C$2000,A50,SCORES!$D$2:$D$2000,"&gt;=0"))-SUMIFS(SCORES!$D$2:$D$2000,SCORES!$D$2:$D$2000,"&gt;=0")/(5*COUNTIFS(SCORES!$D$2:$D$2000,"&gt;=0")))*100)</f>
        <v/>
      </c>
      <c r="N50" s="15" t="str">
        <f aca="false">IF(B50="","",IFERROR(INDEX(UNITS!$E$2:$E$2000,MATCH(B50,UNITS!$A$2:$A$2000,0)),""))</f>
        <v/>
      </c>
      <c r="O50" s="14" t="str">
        <f aca="false">IF(A50="","",IFERROR(COUNTIFS(SCORES!$C$2:$C$2000,A50,SCORES!$B$2:$B$2000,"C",SCORES!$D$2:$D$2000,"&gt;=4")/COUNTIFS(SCORES!$C$2:$C$2000,A50,SCORES!$B$2:$B$2000,"C",SCORES!$D$2:$D$2000,"&gt;=0"),""))</f>
        <v/>
      </c>
      <c r="P50" s="14" t="str">
        <f aca="false">IF(A50="","",IFERROR(COUNTIFS(SCORES!$C$2:$C$2000,A50,SCORES!$B$2:$B$2000,"J",SCORES!$D$2:$D$2000,"&gt;=4")/COUNTIFS(SCORES!$C$2:$C$2000,A50,SCORES!$B$2:$B$2000,"J",SCORES!$D$2:$D$2000,"&gt;=0"),""))</f>
        <v/>
      </c>
      <c r="Q50" s="15" t="str">
        <f aca="false">IF(OR(O50="",P50=""),"",(O50-P50)*100)</f>
        <v/>
      </c>
    </row>
    <row r="51" customFormat="false" ht="15" hidden="false" customHeight="false" outlineLevel="0" collapsed="false">
      <c r="A51" s="7" t="str">
        <f aca="false" t="array" ref="A51:A51">IFERROR(INDEX(CHECKS!$A$2:$A$2000,SMALL(IF(CHECKS!$E$2:$E$2000="y",ROW(CHECKS!$E$2:$E$2000)-1),47)),"")</f>
        <v/>
      </c>
      <c r="B51" s="7" t="str">
        <f aca="false">IF(A51="","",INDEX(CHECKS!$C$2:$C$2000,MATCH(A51,CHECKS!$A$2:$A$2000,0)))</f>
        <v/>
      </c>
      <c r="C51" s="7" t="str">
        <f aca="false">IF(A51="","",SUMIFS(RECHECKS!$G$2:$G$2000,RECHECKS!$C$2:$C$2000,A51))</f>
        <v/>
      </c>
      <c r="D51" s="12" t="str">
        <f aca="false">IF(OR(A51="",C51=0),"",SUMIFS(RECHECKS!$F$2:$F$2000,RECHECKS!$C$2:$C$2000,A51,RECHECKS!$G$2:$G$2000,1)/(5*C51))</f>
        <v/>
      </c>
      <c r="E51" s="12" t="str">
        <f aca="false">IF(OR(A51="",C51=0),"",SUMIFS(RECHECKS!$D$2:$D$2000,RECHECKS!$C$2:$C$2000,A51,RECHECKS!$G$2:$G$2000,1)/(3*C51))</f>
        <v/>
      </c>
      <c r="F51" s="13" t="str">
        <f aca="false">IF(D51="","",(E51-D51)*100)</f>
        <v/>
      </c>
      <c r="G51" s="7" t="str">
        <f aca="false">IF(A51="","",INDEX(CHECKS!$F$2:$F$2000,MATCH(A51,CHECKS!$A$2:$A$2000,0))&amp;"")</f>
        <v/>
      </c>
      <c r="H51" s="7" t="str">
        <f aca="false">IF(OR(A51="",G51=""),"",SUMIFS(RECHECKS!$J$2:$J$2000,RECHECKS!$C$2:$C$2000,A51))</f>
        <v/>
      </c>
      <c r="I51" s="12" t="str">
        <f aca="false">IF(OR(H51="",H51=0),"",SUMIFS(RECHECKS!$I$2:$I$2000,RECHECKS!$C$2:$C$2000,A51,RECHECKS!$J$2:$J$2000,1)/(5*H51))</f>
        <v/>
      </c>
      <c r="J51" s="12" t="str">
        <f aca="false">IF(OR(H51="",H51=0),"",SUMIFS(RECHECKS!$E$2:$E$2000,RECHECKS!$C$2:$C$2000,A51,RECHECKS!$J$2:$J$2000,1)/(2*H51))</f>
        <v/>
      </c>
      <c r="K51" s="13" t="str">
        <f aca="false">IF(I51="","",(J51-I51)*100)</f>
        <v/>
      </c>
      <c r="L51" s="13" t="str">
        <f aca="false">IF(F51="","",IF(K51="",F51,F51-K51))</f>
        <v/>
      </c>
      <c r="M51" s="13" t="str">
        <f aca="false">IF(A51="","",(SUMIFS(SCORES!$D$2:$D$2000,SCORES!$C$2:$C$2000,A51)/(5*COUNTIFS(SCORES!$C$2:$C$2000,A51,SCORES!$D$2:$D$2000,"&gt;=0"))-SUMIFS(SCORES!$D$2:$D$2000,SCORES!$D$2:$D$2000,"&gt;=0")/(5*COUNTIFS(SCORES!$D$2:$D$2000,"&gt;=0")))*100)</f>
        <v/>
      </c>
      <c r="N51" s="13" t="str">
        <f aca="false">IF(B51="","",IFERROR(INDEX(UNITS!$E$2:$E$2000,MATCH(B51,UNITS!$A$2:$A$2000,0)),""))</f>
        <v/>
      </c>
      <c r="O51" s="12" t="str">
        <f aca="false">IF(A51="","",IFERROR(COUNTIFS(SCORES!$C$2:$C$2000,A51,SCORES!$B$2:$B$2000,"C",SCORES!$D$2:$D$2000,"&gt;=4")/COUNTIFS(SCORES!$C$2:$C$2000,A51,SCORES!$B$2:$B$2000,"C",SCORES!$D$2:$D$2000,"&gt;=0"),""))</f>
        <v/>
      </c>
      <c r="P51" s="12" t="str">
        <f aca="false">IF(A51="","",IFERROR(COUNTIFS(SCORES!$C$2:$C$2000,A51,SCORES!$B$2:$B$2000,"J",SCORES!$D$2:$D$2000,"&gt;=4")/COUNTIFS(SCORES!$C$2:$C$2000,A51,SCORES!$B$2:$B$2000,"J",SCORES!$D$2:$D$2000,"&gt;=0"),""))</f>
        <v/>
      </c>
      <c r="Q51" s="13" t="str">
        <f aca="false">IF(OR(O51="",P51=""),"",(O51-P51)*100)</f>
        <v/>
      </c>
    </row>
    <row r="52" customFormat="false" ht="15" hidden="false" customHeight="false" outlineLevel="0" collapsed="false">
      <c r="A52" s="10" t="str">
        <f aca="false" t="array" ref="A52:A52">IFERROR(INDEX(CHECKS!$A$2:$A$2000,SMALL(IF(CHECKS!$E$2:$E$2000="y",ROW(CHECKS!$E$2:$E$2000)-1),48)),"")</f>
        <v/>
      </c>
      <c r="B52" s="10" t="str">
        <f aca="false">IF(A52="","",INDEX(CHECKS!$C$2:$C$2000,MATCH(A52,CHECKS!$A$2:$A$2000,0)))</f>
        <v/>
      </c>
      <c r="C52" s="10" t="str">
        <f aca="false">IF(A52="","",SUMIFS(RECHECKS!$G$2:$G$2000,RECHECKS!$C$2:$C$2000,A52))</f>
        <v/>
      </c>
      <c r="D52" s="14" t="str">
        <f aca="false">IF(OR(A52="",C52=0),"",SUMIFS(RECHECKS!$F$2:$F$2000,RECHECKS!$C$2:$C$2000,A52,RECHECKS!$G$2:$G$2000,1)/(5*C52))</f>
        <v/>
      </c>
      <c r="E52" s="14" t="str">
        <f aca="false">IF(OR(A52="",C52=0),"",SUMIFS(RECHECKS!$D$2:$D$2000,RECHECKS!$C$2:$C$2000,A52,RECHECKS!$G$2:$G$2000,1)/(3*C52))</f>
        <v/>
      </c>
      <c r="F52" s="15" t="str">
        <f aca="false">IF(D52="","",(E52-D52)*100)</f>
        <v/>
      </c>
      <c r="G52" s="10" t="str">
        <f aca="false">IF(A52="","",INDEX(CHECKS!$F$2:$F$2000,MATCH(A52,CHECKS!$A$2:$A$2000,0))&amp;"")</f>
        <v/>
      </c>
      <c r="H52" s="10" t="str">
        <f aca="false">IF(OR(A52="",G52=""),"",SUMIFS(RECHECKS!$J$2:$J$2000,RECHECKS!$C$2:$C$2000,A52))</f>
        <v/>
      </c>
      <c r="I52" s="14" t="str">
        <f aca="false">IF(OR(H52="",H52=0),"",SUMIFS(RECHECKS!$I$2:$I$2000,RECHECKS!$C$2:$C$2000,A52,RECHECKS!$J$2:$J$2000,1)/(5*H52))</f>
        <v/>
      </c>
      <c r="J52" s="14" t="str">
        <f aca="false">IF(OR(H52="",H52=0),"",SUMIFS(RECHECKS!$E$2:$E$2000,RECHECKS!$C$2:$C$2000,A52,RECHECKS!$J$2:$J$2000,1)/(2*H52))</f>
        <v/>
      </c>
      <c r="K52" s="15" t="str">
        <f aca="false">IF(I52="","",(J52-I52)*100)</f>
        <v/>
      </c>
      <c r="L52" s="15" t="str">
        <f aca="false">IF(F52="","",IF(K52="",F52,F52-K52))</f>
        <v/>
      </c>
      <c r="M52" s="15" t="str">
        <f aca="false">IF(A52="","",(SUMIFS(SCORES!$D$2:$D$2000,SCORES!$C$2:$C$2000,A52)/(5*COUNTIFS(SCORES!$C$2:$C$2000,A52,SCORES!$D$2:$D$2000,"&gt;=0"))-SUMIFS(SCORES!$D$2:$D$2000,SCORES!$D$2:$D$2000,"&gt;=0")/(5*COUNTIFS(SCORES!$D$2:$D$2000,"&gt;=0")))*100)</f>
        <v/>
      </c>
      <c r="N52" s="15" t="str">
        <f aca="false">IF(B52="","",IFERROR(INDEX(UNITS!$E$2:$E$2000,MATCH(B52,UNITS!$A$2:$A$2000,0)),""))</f>
        <v/>
      </c>
      <c r="O52" s="14" t="str">
        <f aca="false">IF(A52="","",IFERROR(COUNTIFS(SCORES!$C$2:$C$2000,A52,SCORES!$B$2:$B$2000,"C",SCORES!$D$2:$D$2000,"&gt;=4")/COUNTIFS(SCORES!$C$2:$C$2000,A52,SCORES!$B$2:$B$2000,"C",SCORES!$D$2:$D$2000,"&gt;=0"),""))</f>
        <v/>
      </c>
      <c r="P52" s="14" t="str">
        <f aca="false">IF(A52="","",IFERROR(COUNTIFS(SCORES!$C$2:$C$2000,A52,SCORES!$B$2:$B$2000,"J",SCORES!$D$2:$D$2000,"&gt;=4")/COUNTIFS(SCORES!$C$2:$C$2000,A52,SCORES!$B$2:$B$2000,"J",SCORES!$D$2:$D$2000,"&gt;=0"),""))</f>
        <v/>
      </c>
      <c r="Q52" s="15" t="str">
        <f aca="false">IF(OR(O52="",P52=""),"",(O52-P52)*100)</f>
        <v/>
      </c>
    </row>
    <row r="53" customFormat="false" ht="15" hidden="false" customHeight="false" outlineLevel="0" collapsed="false">
      <c r="A53" s="7" t="str">
        <f aca="false" t="array" ref="A53:A53">IFERROR(INDEX(CHECKS!$A$2:$A$2000,SMALL(IF(CHECKS!$E$2:$E$2000="y",ROW(CHECKS!$E$2:$E$2000)-1),49)),"")</f>
        <v/>
      </c>
      <c r="B53" s="7" t="str">
        <f aca="false">IF(A53="","",INDEX(CHECKS!$C$2:$C$2000,MATCH(A53,CHECKS!$A$2:$A$2000,0)))</f>
        <v/>
      </c>
      <c r="C53" s="7" t="str">
        <f aca="false">IF(A53="","",SUMIFS(RECHECKS!$G$2:$G$2000,RECHECKS!$C$2:$C$2000,A53))</f>
        <v/>
      </c>
      <c r="D53" s="12" t="str">
        <f aca="false">IF(OR(A53="",C53=0),"",SUMIFS(RECHECKS!$F$2:$F$2000,RECHECKS!$C$2:$C$2000,A53,RECHECKS!$G$2:$G$2000,1)/(5*C53))</f>
        <v/>
      </c>
      <c r="E53" s="12" t="str">
        <f aca="false">IF(OR(A53="",C53=0),"",SUMIFS(RECHECKS!$D$2:$D$2000,RECHECKS!$C$2:$C$2000,A53,RECHECKS!$G$2:$G$2000,1)/(3*C53))</f>
        <v/>
      </c>
      <c r="F53" s="13" t="str">
        <f aca="false">IF(D53="","",(E53-D53)*100)</f>
        <v/>
      </c>
      <c r="G53" s="7" t="str">
        <f aca="false">IF(A53="","",INDEX(CHECKS!$F$2:$F$2000,MATCH(A53,CHECKS!$A$2:$A$2000,0))&amp;"")</f>
        <v/>
      </c>
      <c r="H53" s="7" t="str">
        <f aca="false">IF(OR(A53="",G53=""),"",SUMIFS(RECHECKS!$J$2:$J$2000,RECHECKS!$C$2:$C$2000,A53))</f>
        <v/>
      </c>
      <c r="I53" s="12" t="str">
        <f aca="false">IF(OR(H53="",H53=0),"",SUMIFS(RECHECKS!$I$2:$I$2000,RECHECKS!$C$2:$C$2000,A53,RECHECKS!$J$2:$J$2000,1)/(5*H53))</f>
        <v/>
      </c>
      <c r="J53" s="12" t="str">
        <f aca="false">IF(OR(H53="",H53=0),"",SUMIFS(RECHECKS!$E$2:$E$2000,RECHECKS!$C$2:$C$2000,A53,RECHECKS!$J$2:$J$2000,1)/(2*H53))</f>
        <v/>
      </c>
      <c r="K53" s="13" t="str">
        <f aca="false">IF(I53="","",(J53-I53)*100)</f>
        <v/>
      </c>
      <c r="L53" s="13" t="str">
        <f aca="false">IF(F53="","",IF(K53="",F53,F53-K53))</f>
        <v/>
      </c>
      <c r="M53" s="13" t="str">
        <f aca="false">IF(A53="","",(SUMIFS(SCORES!$D$2:$D$2000,SCORES!$C$2:$C$2000,A53)/(5*COUNTIFS(SCORES!$C$2:$C$2000,A53,SCORES!$D$2:$D$2000,"&gt;=0"))-SUMIFS(SCORES!$D$2:$D$2000,SCORES!$D$2:$D$2000,"&gt;=0")/(5*COUNTIFS(SCORES!$D$2:$D$2000,"&gt;=0")))*100)</f>
        <v/>
      </c>
      <c r="N53" s="13" t="str">
        <f aca="false">IF(B53="","",IFERROR(INDEX(UNITS!$E$2:$E$2000,MATCH(B53,UNITS!$A$2:$A$2000,0)),""))</f>
        <v/>
      </c>
      <c r="O53" s="12" t="str">
        <f aca="false">IF(A53="","",IFERROR(COUNTIFS(SCORES!$C$2:$C$2000,A53,SCORES!$B$2:$B$2000,"C",SCORES!$D$2:$D$2000,"&gt;=4")/COUNTIFS(SCORES!$C$2:$C$2000,A53,SCORES!$B$2:$B$2000,"C",SCORES!$D$2:$D$2000,"&gt;=0"),""))</f>
        <v/>
      </c>
      <c r="P53" s="12" t="str">
        <f aca="false">IF(A53="","",IFERROR(COUNTIFS(SCORES!$C$2:$C$2000,A53,SCORES!$B$2:$B$2000,"J",SCORES!$D$2:$D$2000,"&gt;=4")/COUNTIFS(SCORES!$C$2:$C$2000,A53,SCORES!$B$2:$B$2000,"J",SCORES!$D$2:$D$2000,"&gt;=0"),""))</f>
        <v/>
      </c>
      <c r="Q53" s="13" t="str">
        <f aca="false">IF(OR(O53="",P53=""),"",(O53-P53)*100)</f>
        <v/>
      </c>
    </row>
    <row r="54" customFormat="false" ht="15" hidden="false" customHeight="false" outlineLevel="0" collapsed="false">
      <c r="A54" s="10" t="str">
        <f aca="false" t="array" ref="A54:A54">IFERROR(INDEX(CHECKS!$A$2:$A$2000,SMALL(IF(CHECKS!$E$2:$E$2000="y",ROW(CHECKS!$E$2:$E$2000)-1),50)),"")</f>
        <v/>
      </c>
      <c r="B54" s="10" t="str">
        <f aca="false">IF(A54="","",INDEX(CHECKS!$C$2:$C$2000,MATCH(A54,CHECKS!$A$2:$A$2000,0)))</f>
        <v/>
      </c>
      <c r="C54" s="10" t="str">
        <f aca="false">IF(A54="","",SUMIFS(RECHECKS!$G$2:$G$2000,RECHECKS!$C$2:$C$2000,A54))</f>
        <v/>
      </c>
      <c r="D54" s="14" t="str">
        <f aca="false">IF(OR(A54="",C54=0),"",SUMIFS(RECHECKS!$F$2:$F$2000,RECHECKS!$C$2:$C$2000,A54,RECHECKS!$G$2:$G$2000,1)/(5*C54))</f>
        <v/>
      </c>
      <c r="E54" s="14" t="str">
        <f aca="false">IF(OR(A54="",C54=0),"",SUMIFS(RECHECKS!$D$2:$D$2000,RECHECKS!$C$2:$C$2000,A54,RECHECKS!$G$2:$G$2000,1)/(3*C54))</f>
        <v/>
      </c>
      <c r="F54" s="15" t="str">
        <f aca="false">IF(D54="","",(E54-D54)*100)</f>
        <v/>
      </c>
      <c r="G54" s="10" t="str">
        <f aca="false">IF(A54="","",INDEX(CHECKS!$F$2:$F$2000,MATCH(A54,CHECKS!$A$2:$A$2000,0))&amp;"")</f>
        <v/>
      </c>
      <c r="H54" s="10" t="str">
        <f aca="false">IF(OR(A54="",G54=""),"",SUMIFS(RECHECKS!$J$2:$J$2000,RECHECKS!$C$2:$C$2000,A54))</f>
        <v/>
      </c>
      <c r="I54" s="14" t="str">
        <f aca="false">IF(OR(H54="",H54=0),"",SUMIFS(RECHECKS!$I$2:$I$2000,RECHECKS!$C$2:$C$2000,A54,RECHECKS!$J$2:$J$2000,1)/(5*H54))</f>
        <v/>
      </c>
      <c r="J54" s="14" t="str">
        <f aca="false">IF(OR(H54="",H54=0),"",SUMIFS(RECHECKS!$E$2:$E$2000,RECHECKS!$C$2:$C$2000,A54,RECHECKS!$J$2:$J$2000,1)/(2*H54))</f>
        <v/>
      </c>
      <c r="K54" s="15" t="str">
        <f aca="false">IF(I54="","",(J54-I54)*100)</f>
        <v/>
      </c>
      <c r="L54" s="15" t="str">
        <f aca="false">IF(F54="","",IF(K54="",F54,F54-K54))</f>
        <v/>
      </c>
      <c r="M54" s="15" t="str">
        <f aca="false">IF(A54="","",(SUMIFS(SCORES!$D$2:$D$2000,SCORES!$C$2:$C$2000,A54)/(5*COUNTIFS(SCORES!$C$2:$C$2000,A54,SCORES!$D$2:$D$2000,"&gt;=0"))-SUMIFS(SCORES!$D$2:$D$2000,SCORES!$D$2:$D$2000,"&gt;=0")/(5*COUNTIFS(SCORES!$D$2:$D$2000,"&gt;=0")))*100)</f>
        <v/>
      </c>
      <c r="N54" s="15" t="str">
        <f aca="false">IF(B54="","",IFERROR(INDEX(UNITS!$E$2:$E$2000,MATCH(B54,UNITS!$A$2:$A$2000,0)),""))</f>
        <v/>
      </c>
      <c r="O54" s="14" t="str">
        <f aca="false">IF(A54="","",IFERROR(COUNTIFS(SCORES!$C$2:$C$2000,A54,SCORES!$B$2:$B$2000,"C",SCORES!$D$2:$D$2000,"&gt;=4")/COUNTIFS(SCORES!$C$2:$C$2000,A54,SCORES!$B$2:$B$2000,"C",SCORES!$D$2:$D$2000,"&gt;=0"),""))</f>
        <v/>
      </c>
      <c r="P54" s="14" t="str">
        <f aca="false">IF(A54="","",IFERROR(COUNTIFS(SCORES!$C$2:$C$2000,A54,SCORES!$B$2:$B$2000,"J",SCORES!$D$2:$D$2000,"&gt;=4")/COUNTIFS(SCORES!$C$2:$C$2000,A54,SCORES!$B$2:$B$2000,"J",SCORES!$D$2:$D$2000,"&gt;=0"),""))</f>
        <v/>
      </c>
      <c r="Q54" s="15" t="str">
        <f aca="false">IF(OR(O54="",P54=""),"",(O54-P54)*100)</f>
        <v/>
      </c>
    </row>
    <row r="55" customFormat="false" ht="15" hidden="false" customHeight="false" outlineLevel="0" collapsed="false">
      <c r="A55" s="7" t="str">
        <f aca="false" t="array" ref="A55:A55">IFERROR(INDEX(CHECKS!$A$2:$A$2000,SMALL(IF(CHECKS!$E$2:$E$2000="y",ROW(CHECKS!$E$2:$E$2000)-1),51)),"")</f>
        <v/>
      </c>
      <c r="B55" s="7" t="str">
        <f aca="false">IF(A55="","",INDEX(CHECKS!$C$2:$C$2000,MATCH(A55,CHECKS!$A$2:$A$2000,0)))</f>
        <v/>
      </c>
      <c r="C55" s="7" t="str">
        <f aca="false">IF(A55="","",SUMIFS(RECHECKS!$G$2:$G$2000,RECHECKS!$C$2:$C$2000,A55))</f>
        <v/>
      </c>
      <c r="D55" s="12" t="str">
        <f aca="false">IF(OR(A55="",C55=0),"",SUMIFS(RECHECKS!$F$2:$F$2000,RECHECKS!$C$2:$C$2000,A55,RECHECKS!$G$2:$G$2000,1)/(5*C55))</f>
        <v/>
      </c>
      <c r="E55" s="12" t="str">
        <f aca="false">IF(OR(A55="",C55=0),"",SUMIFS(RECHECKS!$D$2:$D$2000,RECHECKS!$C$2:$C$2000,A55,RECHECKS!$G$2:$G$2000,1)/(3*C55))</f>
        <v/>
      </c>
      <c r="F55" s="13" t="str">
        <f aca="false">IF(D55="","",(E55-D55)*100)</f>
        <v/>
      </c>
      <c r="G55" s="7" t="str">
        <f aca="false">IF(A55="","",INDEX(CHECKS!$F$2:$F$2000,MATCH(A55,CHECKS!$A$2:$A$2000,0))&amp;"")</f>
        <v/>
      </c>
      <c r="H55" s="7" t="str">
        <f aca="false">IF(OR(A55="",G55=""),"",SUMIFS(RECHECKS!$J$2:$J$2000,RECHECKS!$C$2:$C$2000,A55))</f>
        <v/>
      </c>
      <c r="I55" s="12" t="str">
        <f aca="false">IF(OR(H55="",H55=0),"",SUMIFS(RECHECKS!$I$2:$I$2000,RECHECKS!$C$2:$C$2000,A55,RECHECKS!$J$2:$J$2000,1)/(5*H55))</f>
        <v/>
      </c>
      <c r="J55" s="12" t="str">
        <f aca="false">IF(OR(H55="",H55=0),"",SUMIFS(RECHECKS!$E$2:$E$2000,RECHECKS!$C$2:$C$2000,A55,RECHECKS!$J$2:$J$2000,1)/(2*H55))</f>
        <v/>
      </c>
      <c r="K55" s="13" t="str">
        <f aca="false">IF(I55="","",(J55-I55)*100)</f>
        <v/>
      </c>
      <c r="L55" s="13" t="str">
        <f aca="false">IF(F55="","",IF(K55="",F55,F55-K55))</f>
        <v/>
      </c>
      <c r="M55" s="13" t="str">
        <f aca="false">IF(A55="","",(SUMIFS(SCORES!$D$2:$D$2000,SCORES!$C$2:$C$2000,A55)/(5*COUNTIFS(SCORES!$C$2:$C$2000,A55,SCORES!$D$2:$D$2000,"&gt;=0"))-SUMIFS(SCORES!$D$2:$D$2000,SCORES!$D$2:$D$2000,"&gt;=0")/(5*COUNTIFS(SCORES!$D$2:$D$2000,"&gt;=0")))*100)</f>
        <v/>
      </c>
      <c r="N55" s="13" t="str">
        <f aca="false">IF(B55="","",IFERROR(INDEX(UNITS!$E$2:$E$2000,MATCH(B55,UNITS!$A$2:$A$2000,0)),""))</f>
        <v/>
      </c>
      <c r="O55" s="12" t="str">
        <f aca="false">IF(A55="","",IFERROR(COUNTIFS(SCORES!$C$2:$C$2000,A55,SCORES!$B$2:$B$2000,"C",SCORES!$D$2:$D$2000,"&gt;=4")/COUNTIFS(SCORES!$C$2:$C$2000,A55,SCORES!$B$2:$B$2000,"C",SCORES!$D$2:$D$2000,"&gt;=0"),""))</f>
        <v/>
      </c>
      <c r="P55" s="12" t="str">
        <f aca="false">IF(A55="","",IFERROR(COUNTIFS(SCORES!$C$2:$C$2000,A55,SCORES!$B$2:$B$2000,"J",SCORES!$D$2:$D$2000,"&gt;=4")/COUNTIFS(SCORES!$C$2:$C$2000,A55,SCORES!$B$2:$B$2000,"J",SCORES!$D$2:$D$2000,"&gt;=0"),""))</f>
        <v/>
      </c>
      <c r="Q55" s="13" t="str">
        <f aca="false">IF(OR(O55="",P55=""),"",(O55-P55)*100)</f>
        <v/>
      </c>
    </row>
    <row r="56" customFormat="false" ht="15" hidden="false" customHeight="false" outlineLevel="0" collapsed="false">
      <c r="A56" s="10" t="str">
        <f aca="false" t="array" ref="A56:A56">IFERROR(INDEX(CHECKS!$A$2:$A$2000,SMALL(IF(CHECKS!$E$2:$E$2000="y",ROW(CHECKS!$E$2:$E$2000)-1),52)),"")</f>
        <v/>
      </c>
      <c r="B56" s="10" t="str">
        <f aca="false">IF(A56="","",INDEX(CHECKS!$C$2:$C$2000,MATCH(A56,CHECKS!$A$2:$A$2000,0)))</f>
        <v/>
      </c>
      <c r="C56" s="10" t="str">
        <f aca="false">IF(A56="","",SUMIFS(RECHECKS!$G$2:$G$2000,RECHECKS!$C$2:$C$2000,A56))</f>
        <v/>
      </c>
      <c r="D56" s="14" t="str">
        <f aca="false">IF(OR(A56="",C56=0),"",SUMIFS(RECHECKS!$F$2:$F$2000,RECHECKS!$C$2:$C$2000,A56,RECHECKS!$G$2:$G$2000,1)/(5*C56))</f>
        <v/>
      </c>
      <c r="E56" s="14" t="str">
        <f aca="false">IF(OR(A56="",C56=0),"",SUMIFS(RECHECKS!$D$2:$D$2000,RECHECKS!$C$2:$C$2000,A56,RECHECKS!$G$2:$G$2000,1)/(3*C56))</f>
        <v/>
      </c>
      <c r="F56" s="15" t="str">
        <f aca="false">IF(D56="","",(E56-D56)*100)</f>
        <v/>
      </c>
      <c r="G56" s="10" t="str">
        <f aca="false">IF(A56="","",INDEX(CHECKS!$F$2:$F$2000,MATCH(A56,CHECKS!$A$2:$A$2000,0))&amp;"")</f>
        <v/>
      </c>
      <c r="H56" s="10" t="str">
        <f aca="false">IF(OR(A56="",G56=""),"",SUMIFS(RECHECKS!$J$2:$J$2000,RECHECKS!$C$2:$C$2000,A56))</f>
        <v/>
      </c>
      <c r="I56" s="14" t="str">
        <f aca="false">IF(OR(H56="",H56=0),"",SUMIFS(RECHECKS!$I$2:$I$2000,RECHECKS!$C$2:$C$2000,A56,RECHECKS!$J$2:$J$2000,1)/(5*H56))</f>
        <v/>
      </c>
      <c r="J56" s="14" t="str">
        <f aca="false">IF(OR(H56="",H56=0),"",SUMIFS(RECHECKS!$E$2:$E$2000,RECHECKS!$C$2:$C$2000,A56,RECHECKS!$J$2:$J$2000,1)/(2*H56))</f>
        <v/>
      </c>
      <c r="K56" s="15" t="str">
        <f aca="false">IF(I56="","",(J56-I56)*100)</f>
        <v/>
      </c>
      <c r="L56" s="15" t="str">
        <f aca="false">IF(F56="","",IF(K56="",F56,F56-K56))</f>
        <v/>
      </c>
      <c r="M56" s="15" t="str">
        <f aca="false">IF(A56="","",(SUMIFS(SCORES!$D$2:$D$2000,SCORES!$C$2:$C$2000,A56)/(5*COUNTIFS(SCORES!$C$2:$C$2000,A56,SCORES!$D$2:$D$2000,"&gt;=0"))-SUMIFS(SCORES!$D$2:$D$2000,SCORES!$D$2:$D$2000,"&gt;=0")/(5*COUNTIFS(SCORES!$D$2:$D$2000,"&gt;=0")))*100)</f>
        <v/>
      </c>
      <c r="N56" s="15" t="str">
        <f aca="false">IF(B56="","",IFERROR(INDEX(UNITS!$E$2:$E$2000,MATCH(B56,UNITS!$A$2:$A$2000,0)),""))</f>
        <v/>
      </c>
      <c r="O56" s="14" t="str">
        <f aca="false">IF(A56="","",IFERROR(COUNTIFS(SCORES!$C$2:$C$2000,A56,SCORES!$B$2:$B$2000,"C",SCORES!$D$2:$D$2000,"&gt;=4")/COUNTIFS(SCORES!$C$2:$C$2000,A56,SCORES!$B$2:$B$2000,"C",SCORES!$D$2:$D$2000,"&gt;=0"),""))</f>
        <v/>
      </c>
      <c r="P56" s="14" t="str">
        <f aca="false">IF(A56="","",IFERROR(COUNTIFS(SCORES!$C$2:$C$2000,A56,SCORES!$B$2:$B$2000,"J",SCORES!$D$2:$D$2000,"&gt;=4")/COUNTIFS(SCORES!$C$2:$C$2000,A56,SCORES!$B$2:$B$2000,"J",SCORES!$D$2:$D$2000,"&gt;=0"),""))</f>
        <v/>
      </c>
      <c r="Q56" s="15" t="str">
        <f aca="false">IF(OR(O56="",P56=""),"",(O56-P56)*100)</f>
        <v/>
      </c>
    </row>
    <row r="57" customFormat="false" ht="15" hidden="false" customHeight="false" outlineLevel="0" collapsed="false">
      <c r="A57" s="7" t="str">
        <f aca="false" t="array" ref="A57:A57">IFERROR(INDEX(CHECKS!$A$2:$A$2000,SMALL(IF(CHECKS!$E$2:$E$2000="y",ROW(CHECKS!$E$2:$E$2000)-1),53)),"")</f>
        <v/>
      </c>
      <c r="B57" s="7" t="str">
        <f aca="false">IF(A57="","",INDEX(CHECKS!$C$2:$C$2000,MATCH(A57,CHECKS!$A$2:$A$2000,0)))</f>
        <v/>
      </c>
      <c r="C57" s="7" t="str">
        <f aca="false">IF(A57="","",SUMIFS(RECHECKS!$G$2:$G$2000,RECHECKS!$C$2:$C$2000,A57))</f>
        <v/>
      </c>
      <c r="D57" s="12" t="str">
        <f aca="false">IF(OR(A57="",C57=0),"",SUMIFS(RECHECKS!$F$2:$F$2000,RECHECKS!$C$2:$C$2000,A57,RECHECKS!$G$2:$G$2000,1)/(5*C57))</f>
        <v/>
      </c>
      <c r="E57" s="12" t="str">
        <f aca="false">IF(OR(A57="",C57=0),"",SUMIFS(RECHECKS!$D$2:$D$2000,RECHECKS!$C$2:$C$2000,A57,RECHECKS!$G$2:$G$2000,1)/(3*C57))</f>
        <v/>
      </c>
      <c r="F57" s="13" t="str">
        <f aca="false">IF(D57="","",(E57-D57)*100)</f>
        <v/>
      </c>
      <c r="G57" s="7" t="str">
        <f aca="false">IF(A57="","",INDEX(CHECKS!$F$2:$F$2000,MATCH(A57,CHECKS!$A$2:$A$2000,0))&amp;"")</f>
        <v/>
      </c>
      <c r="H57" s="7" t="str">
        <f aca="false">IF(OR(A57="",G57=""),"",SUMIFS(RECHECKS!$J$2:$J$2000,RECHECKS!$C$2:$C$2000,A57))</f>
        <v/>
      </c>
      <c r="I57" s="12" t="str">
        <f aca="false">IF(OR(H57="",H57=0),"",SUMIFS(RECHECKS!$I$2:$I$2000,RECHECKS!$C$2:$C$2000,A57,RECHECKS!$J$2:$J$2000,1)/(5*H57))</f>
        <v/>
      </c>
      <c r="J57" s="12" t="str">
        <f aca="false">IF(OR(H57="",H57=0),"",SUMIFS(RECHECKS!$E$2:$E$2000,RECHECKS!$C$2:$C$2000,A57,RECHECKS!$J$2:$J$2000,1)/(2*H57))</f>
        <v/>
      </c>
      <c r="K57" s="13" t="str">
        <f aca="false">IF(I57="","",(J57-I57)*100)</f>
        <v/>
      </c>
      <c r="L57" s="13" t="str">
        <f aca="false">IF(F57="","",IF(K57="",F57,F57-K57))</f>
        <v/>
      </c>
      <c r="M57" s="13" t="str">
        <f aca="false">IF(A57="","",(SUMIFS(SCORES!$D$2:$D$2000,SCORES!$C$2:$C$2000,A57)/(5*COUNTIFS(SCORES!$C$2:$C$2000,A57,SCORES!$D$2:$D$2000,"&gt;=0"))-SUMIFS(SCORES!$D$2:$D$2000,SCORES!$D$2:$D$2000,"&gt;=0")/(5*COUNTIFS(SCORES!$D$2:$D$2000,"&gt;=0")))*100)</f>
        <v/>
      </c>
      <c r="N57" s="13" t="str">
        <f aca="false">IF(B57="","",IFERROR(INDEX(UNITS!$E$2:$E$2000,MATCH(B57,UNITS!$A$2:$A$2000,0)),""))</f>
        <v/>
      </c>
      <c r="O57" s="12" t="str">
        <f aca="false">IF(A57="","",IFERROR(COUNTIFS(SCORES!$C$2:$C$2000,A57,SCORES!$B$2:$B$2000,"C",SCORES!$D$2:$D$2000,"&gt;=4")/COUNTIFS(SCORES!$C$2:$C$2000,A57,SCORES!$B$2:$B$2000,"C",SCORES!$D$2:$D$2000,"&gt;=0"),""))</f>
        <v/>
      </c>
      <c r="P57" s="12" t="str">
        <f aca="false">IF(A57="","",IFERROR(COUNTIFS(SCORES!$C$2:$C$2000,A57,SCORES!$B$2:$B$2000,"J",SCORES!$D$2:$D$2000,"&gt;=4")/COUNTIFS(SCORES!$C$2:$C$2000,A57,SCORES!$B$2:$B$2000,"J",SCORES!$D$2:$D$2000,"&gt;=0"),""))</f>
        <v/>
      </c>
      <c r="Q57" s="13" t="str">
        <f aca="false">IF(OR(O57="",P57=""),"",(O57-P57)*100)</f>
        <v/>
      </c>
    </row>
    <row r="58" customFormat="false" ht="15" hidden="false" customHeight="false" outlineLevel="0" collapsed="false">
      <c r="A58" s="10" t="str">
        <f aca="false" t="array" ref="A58:A58">IFERROR(INDEX(CHECKS!$A$2:$A$2000,SMALL(IF(CHECKS!$E$2:$E$2000="y",ROW(CHECKS!$E$2:$E$2000)-1),54)),"")</f>
        <v/>
      </c>
      <c r="B58" s="10" t="str">
        <f aca="false">IF(A58="","",INDEX(CHECKS!$C$2:$C$2000,MATCH(A58,CHECKS!$A$2:$A$2000,0)))</f>
        <v/>
      </c>
      <c r="C58" s="10" t="str">
        <f aca="false">IF(A58="","",SUMIFS(RECHECKS!$G$2:$G$2000,RECHECKS!$C$2:$C$2000,A58))</f>
        <v/>
      </c>
      <c r="D58" s="14" t="str">
        <f aca="false">IF(OR(A58="",C58=0),"",SUMIFS(RECHECKS!$F$2:$F$2000,RECHECKS!$C$2:$C$2000,A58,RECHECKS!$G$2:$G$2000,1)/(5*C58))</f>
        <v/>
      </c>
      <c r="E58" s="14" t="str">
        <f aca="false">IF(OR(A58="",C58=0),"",SUMIFS(RECHECKS!$D$2:$D$2000,RECHECKS!$C$2:$C$2000,A58,RECHECKS!$G$2:$G$2000,1)/(3*C58))</f>
        <v/>
      </c>
      <c r="F58" s="15" t="str">
        <f aca="false">IF(D58="","",(E58-D58)*100)</f>
        <v/>
      </c>
      <c r="G58" s="10" t="str">
        <f aca="false">IF(A58="","",INDEX(CHECKS!$F$2:$F$2000,MATCH(A58,CHECKS!$A$2:$A$2000,0))&amp;"")</f>
        <v/>
      </c>
      <c r="H58" s="10" t="str">
        <f aca="false">IF(OR(A58="",G58=""),"",SUMIFS(RECHECKS!$J$2:$J$2000,RECHECKS!$C$2:$C$2000,A58))</f>
        <v/>
      </c>
      <c r="I58" s="14" t="str">
        <f aca="false">IF(OR(H58="",H58=0),"",SUMIFS(RECHECKS!$I$2:$I$2000,RECHECKS!$C$2:$C$2000,A58,RECHECKS!$J$2:$J$2000,1)/(5*H58))</f>
        <v/>
      </c>
      <c r="J58" s="14" t="str">
        <f aca="false">IF(OR(H58="",H58=0),"",SUMIFS(RECHECKS!$E$2:$E$2000,RECHECKS!$C$2:$C$2000,A58,RECHECKS!$J$2:$J$2000,1)/(2*H58))</f>
        <v/>
      </c>
      <c r="K58" s="15" t="str">
        <f aca="false">IF(I58="","",(J58-I58)*100)</f>
        <v/>
      </c>
      <c r="L58" s="15" t="str">
        <f aca="false">IF(F58="","",IF(K58="",F58,F58-K58))</f>
        <v/>
      </c>
      <c r="M58" s="15" t="str">
        <f aca="false">IF(A58="","",(SUMIFS(SCORES!$D$2:$D$2000,SCORES!$C$2:$C$2000,A58)/(5*COUNTIFS(SCORES!$C$2:$C$2000,A58,SCORES!$D$2:$D$2000,"&gt;=0"))-SUMIFS(SCORES!$D$2:$D$2000,SCORES!$D$2:$D$2000,"&gt;=0")/(5*COUNTIFS(SCORES!$D$2:$D$2000,"&gt;=0")))*100)</f>
        <v/>
      </c>
      <c r="N58" s="15" t="str">
        <f aca="false">IF(B58="","",IFERROR(INDEX(UNITS!$E$2:$E$2000,MATCH(B58,UNITS!$A$2:$A$2000,0)),""))</f>
        <v/>
      </c>
      <c r="O58" s="14" t="str">
        <f aca="false">IF(A58="","",IFERROR(COUNTIFS(SCORES!$C$2:$C$2000,A58,SCORES!$B$2:$B$2000,"C",SCORES!$D$2:$D$2000,"&gt;=4")/COUNTIFS(SCORES!$C$2:$C$2000,A58,SCORES!$B$2:$B$2000,"C",SCORES!$D$2:$D$2000,"&gt;=0"),""))</f>
        <v/>
      </c>
      <c r="P58" s="14" t="str">
        <f aca="false">IF(A58="","",IFERROR(COUNTIFS(SCORES!$C$2:$C$2000,A58,SCORES!$B$2:$B$2000,"J",SCORES!$D$2:$D$2000,"&gt;=4")/COUNTIFS(SCORES!$C$2:$C$2000,A58,SCORES!$B$2:$B$2000,"J",SCORES!$D$2:$D$2000,"&gt;=0"),""))</f>
        <v/>
      </c>
      <c r="Q58" s="15" t="str">
        <f aca="false">IF(OR(O58="",P58=""),"",(O58-P58)*100)</f>
        <v/>
      </c>
    </row>
    <row r="59" customFormat="false" ht="15" hidden="false" customHeight="false" outlineLevel="0" collapsed="false">
      <c r="A59" s="7" t="str">
        <f aca="false" t="array" ref="A59:A59">IFERROR(INDEX(CHECKS!$A$2:$A$2000,SMALL(IF(CHECKS!$E$2:$E$2000="y",ROW(CHECKS!$E$2:$E$2000)-1),55)),"")</f>
        <v/>
      </c>
      <c r="B59" s="7" t="str">
        <f aca="false">IF(A59="","",INDEX(CHECKS!$C$2:$C$2000,MATCH(A59,CHECKS!$A$2:$A$2000,0)))</f>
        <v/>
      </c>
      <c r="C59" s="7" t="str">
        <f aca="false">IF(A59="","",SUMIFS(RECHECKS!$G$2:$G$2000,RECHECKS!$C$2:$C$2000,A59))</f>
        <v/>
      </c>
      <c r="D59" s="12" t="str">
        <f aca="false">IF(OR(A59="",C59=0),"",SUMIFS(RECHECKS!$F$2:$F$2000,RECHECKS!$C$2:$C$2000,A59,RECHECKS!$G$2:$G$2000,1)/(5*C59))</f>
        <v/>
      </c>
      <c r="E59" s="12" t="str">
        <f aca="false">IF(OR(A59="",C59=0),"",SUMIFS(RECHECKS!$D$2:$D$2000,RECHECKS!$C$2:$C$2000,A59,RECHECKS!$G$2:$G$2000,1)/(3*C59))</f>
        <v/>
      </c>
      <c r="F59" s="13" t="str">
        <f aca="false">IF(D59="","",(E59-D59)*100)</f>
        <v/>
      </c>
      <c r="G59" s="7" t="str">
        <f aca="false">IF(A59="","",INDEX(CHECKS!$F$2:$F$2000,MATCH(A59,CHECKS!$A$2:$A$2000,0))&amp;"")</f>
        <v/>
      </c>
      <c r="H59" s="7" t="str">
        <f aca="false">IF(OR(A59="",G59=""),"",SUMIFS(RECHECKS!$J$2:$J$2000,RECHECKS!$C$2:$C$2000,A59))</f>
        <v/>
      </c>
      <c r="I59" s="12" t="str">
        <f aca="false">IF(OR(H59="",H59=0),"",SUMIFS(RECHECKS!$I$2:$I$2000,RECHECKS!$C$2:$C$2000,A59,RECHECKS!$J$2:$J$2000,1)/(5*H59))</f>
        <v/>
      </c>
      <c r="J59" s="12" t="str">
        <f aca="false">IF(OR(H59="",H59=0),"",SUMIFS(RECHECKS!$E$2:$E$2000,RECHECKS!$C$2:$C$2000,A59,RECHECKS!$J$2:$J$2000,1)/(2*H59))</f>
        <v/>
      </c>
      <c r="K59" s="13" t="str">
        <f aca="false">IF(I59="","",(J59-I59)*100)</f>
        <v/>
      </c>
      <c r="L59" s="13" t="str">
        <f aca="false">IF(F59="","",IF(K59="",F59,F59-K59))</f>
        <v/>
      </c>
      <c r="M59" s="13" t="str">
        <f aca="false">IF(A59="","",(SUMIFS(SCORES!$D$2:$D$2000,SCORES!$C$2:$C$2000,A59)/(5*COUNTIFS(SCORES!$C$2:$C$2000,A59,SCORES!$D$2:$D$2000,"&gt;=0"))-SUMIFS(SCORES!$D$2:$D$2000,SCORES!$D$2:$D$2000,"&gt;=0")/(5*COUNTIFS(SCORES!$D$2:$D$2000,"&gt;=0")))*100)</f>
        <v/>
      </c>
      <c r="N59" s="13" t="str">
        <f aca="false">IF(B59="","",IFERROR(INDEX(UNITS!$E$2:$E$2000,MATCH(B59,UNITS!$A$2:$A$2000,0)),""))</f>
        <v/>
      </c>
      <c r="O59" s="12" t="str">
        <f aca="false">IF(A59="","",IFERROR(COUNTIFS(SCORES!$C$2:$C$2000,A59,SCORES!$B$2:$B$2000,"C",SCORES!$D$2:$D$2000,"&gt;=4")/COUNTIFS(SCORES!$C$2:$C$2000,A59,SCORES!$B$2:$B$2000,"C",SCORES!$D$2:$D$2000,"&gt;=0"),""))</f>
        <v/>
      </c>
      <c r="P59" s="12" t="str">
        <f aca="false">IF(A59="","",IFERROR(COUNTIFS(SCORES!$C$2:$C$2000,A59,SCORES!$B$2:$B$2000,"J",SCORES!$D$2:$D$2000,"&gt;=4")/COUNTIFS(SCORES!$C$2:$C$2000,A59,SCORES!$B$2:$B$2000,"J",SCORES!$D$2:$D$2000,"&gt;=0"),""))</f>
        <v/>
      </c>
      <c r="Q59" s="13" t="str">
        <f aca="false">IF(OR(O59="",P59=""),"",(O59-P59)*100)</f>
        <v/>
      </c>
    </row>
    <row r="60" customFormat="false" ht="15" hidden="false" customHeight="false" outlineLevel="0" collapsed="false">
      <c r="A60" s="10" t="str">
        <f aca="false" t="array" ref="A60:A60">IFERROR(INDEX(CHECKS!$A$2:$A$2000,SMALL(IF(CHECKS!$E$2:$E$2000="y",ROW(CHECKS!$E$2:$E$2000)-1),56)),"")</f>
        <v/>
      </c>
      <c r="B60" s="10" t="str">
        <f aca="false">IF(A60="","",INDEX(CHECKS!$C$2:$C$2000,MATCH(A60,CHECKS!$A$2:$A$2000,0)))</f>
        <v/>
      </c>
      <c r="C60" s="10" t="str">
        <f aca="false">IF(A60="","",SUMIFS(RECHECKS!$G$2:$G$2000,RECHECKS!$C$2:$C$2000,A60))</f>
        <v/>
      </c>
      <c r="D60" s="14" t="str">
        <f aca="false">IF(OR(A60="",C60=0),"",SUMIFS(RECHECKS!$F$2:$F$2000,RECHECKS!$C$2:$C$2000,A60,RECHECKS!$G$2:$G$2000,1)/(5*C60))</f>
        <v/>
      </c>
      <c r="E60" s="14" t="str">
        <f aca="false">IF(OR(A60="",C60=0),"",SUMIFS(RECHECKS!$D$2:$D$2000,RECHECKS!$C$2:$C$2000,A60,RECHECKS!$G$2:$G$2000,1)/(3*C60))</f>
        <v/>
      </c>
      <c r="F60" s="15" t="str">
        <f aca="false">IF(D60="","",(E60-D60)*100)</f>
        <v/>
      </c>
      <c r="G60" s="10" t="str">
        <f aca="false">IF(A60="","",INDEX(CHECKS!$F$2:$F$2000,MATCH(A60,CHECKS!$A$2:$A$2000,0))&amp;"")</f>
        <v/>
      </c>
      <c r="H60" s="10" t="str">
        <f aca="false">IF(OR(A60="",G60=""),"",SUMIFS(RECHECKS!$J$2:$J$2000,RECHECKS!$C$2:$C$2000,A60))</f>
        <v/>
      </c>
      <c r="I60" s="14" t="str">
        <f aca="false">IF(OR(H60="",H60=0),"",SUMIFS(RECHECKS!$I$2:$I$2000,RECHECKS!$C$2:$C$2000,A60,RECHECKS!$J$2:$J$2000,1)/(5*H60))</f>
        <v/>
      </c>
      <c r="J60" s="14" t="str">
        <f aca="false">IF(OR(H60="",H60=0),"",SUMIFS(RECHECKS!$E$2:$E$2000,RECHECKS!$C$2:$C$2000,A60,RECHECKS!$J$2:$J$2000,1)/(2*H60))</f>
        <v/>
      </c>
      <c r="K60" s="15" t="str">
        <f aca="false">IF(I60="","",(J60-I60)*100)</f>
        <v/>
      </c>
      <c r="L60" s="15" t="str">
        <f aca="false">IF(F60="","",IF(K60="",F60,F60-K60))</f>
        <v/>
      </c>
      <c r="M60" s="15" t="str">
        <f aca="false">IF(A60="","",(SUMIFS(SCORES!$D$2:$D$2000,SCORES!$C$2:$C$2000,A60)/(5*COUNTIFS(SCORES!$C$2:$C$2000,A60,SCORES!$D$2:$D$2000,"&gt;=0"))-SUMIFS(SCORES!$D$2:$D$2000,SCORES!$D$2:$D$2000,"&gt;=0")/(5*COUNTIFS(SCORES!$D$2:$D$2000,"&gt;=0")))*100)</f>
        <v/>
      </c>
      <c r="N60" s="15" t="str">
        <f aca="false">IF(B60="","",IFERROR(INDEX(UNITS!$E$2:$E$2000,MATCH(B60,UNITS!$A$2:$A$2000,0)),""))</f>
        <v/>
      </c>
      <c r="O60" s="14" t="str">
        <f aca="false">IF(A60="","",IFERROR(COUNTIFS(SCORES!$C$2:$C$2000,A60,SCORES!$B$2:$B$2000,"C",SCORES!$D$2:$D$2000,"&gt;=4")/COUNTIFS(SCORES!$C$2:$C$2000,A60,SCORES!$B$2:$B$2000,"C",SCORES!$D$2:$D$2000,"&gt;=0"),""))</f>
        <v/>
      </c>
      <c r="P60" s="14" t="str">
        <f aca="false">IF(A60="","",IFERROR(COUNTIFS(SCORES!$C$2:$C$2000,A60,SCORES!$B$2:$B$2000,"J",SCORES!$D$2:$D$2000,"&gt;=4")/COUNTIFS(SCORES!$C$2:$C$2000,A60,SCORES!$B$2:$B$2000,"J",SCORES!$D$2:$D$2000,"&gt;=0"),""))</f>
        <v/>
      </c>
      <c r="Q60" s="15" t="str">
        <f aca="false">IF(OR(O60="",P60=""),"",(O60-P60)*100)</f>
        <v/>
      </c>
    </row>
    <row r="61" customFormat="false" ht="15" hidden="false" customHeight="false" outlineLevel="0" collapsed="false">
      <c r="A61" s="7" t="str">
        <f aca="false" t="array" ref="A61:A61">IFERROR(INDEX(CHECKS!$A$2:$A$2000,SMALL(IF(CHECKS!$E$2:$E$2000="y",ROW(CHECKS!$E$2:$E$2000)-1),57)),"")</f>
        <v/>
      </c>
      <c r="B61" s="7" t="str">
        <f aca="false">IF(A61="","",INDEX(CHECKS!$C$2:$C$2000,MATCH(A61,CHECKS!$A$2:$A$2000,0)))</f>
        <v/>
      </c>
      <c r="C61" s="7" t="str">
        <f aca="false">IF(A61="","",SUMIFS(RECHECKS!$G$2:$G$2000,RECHECKS!$C$2:$C$2000,A61))</f>
        <v/>
      </c>
      <c r="D61" s="12" t="str">
        <f aca="false">IF(OR(A61="",C61=0),"",SUMIFS(RECHECKS!$F$2:$F$2000,RECHECKS!$C$2:$C$2000,A61,RECHECKS!$G$2:$G$2000,1)/(5*C61))</f>
        <v/>
      </c>
      <c r="E61" s="12" t="str">
        <f aca="false">IF(OR(A61="",C61=0),"",SUMIFS(RECHECKS!$D$2:$D$2000,RECHECKS!$C$2:$C$2000,A61,RECHECKS!$G$2:$G$2000,1)/(3*C61))</f>
        <v/>
      </c>
      <c r="F61" s="13" t="str">
        <f aca="false">IF(D61="","",(E61-D61)*100)</f>
        <v/>
      </c>
      <c r="G61" s="7" t="str">
        <f aca="false">IF(A61="","",INDEX(CHECKS!$F$2:$F$2000,MATCH(A61,CHECKS!$A$2:$A$2000,0))&amp;"")</f>
        <v/>
      </c>
      <c r="H61" s="7" t="str">
        <f aca="false">IF(OR(A61="",G61=""),"",SUMIFS(RECHECKS!$J$2:$J$2000,RECHECKS!$C$2:$C$2000,A61))</f>
        <v/>
      </c>
      <c r="I61" s="12" t="str">
        <f aca="false">IF(OR(H61="",H61=0),"",SUMIFS(RECHECKS!$I$2:$I$2000,RECHECKS!$C$2:$C$2000,A61,RECHECKS!$J$2:$J$2000,1)/(5*H61))</f>
        <v/>
      </c>
      <c r="J61" s="12" t="str">
        <f aca="false">IF(OR(H61="",H61=0),"",SUMIFS(RECHECKS!$E$2:$E$2000,RECHECKS!$C$2:$C$2000,A61,RECHECKS!$J$2:$J$2000,1)/(2*H61))</f>
        <v/>
      </c>
      <c r="K61" s="13" t="str">
        <f aca="false">IF(I61="","",(J61-I61)*100)</f>
        <v/>
      </c>
      <c r="L61" s="13" t="str">
        <f aca="false">IF(F61="","",IF(K61="",F61,F61-K61))</f>
        <v/>
      </c>
      <c r="M61" s="13" t="str">
        <f aca="false">IF(A61="","",(SUMIFS(SCORES!$D$2:$D$2000,SCORES!$C$2:$C$2000,A61)/(5*COUNTIFS(SCORES!$C$2:$C$2000,A61,SCORES!$D$2:$D$2000,"&gt;=0"))-SUMIFS(SCORES!$D$2:$D$2000,SCORES!$D$2:$D$2000,"&gt;=0")/(5*COUNTIFS(SCORES!$D$2:$D$2000,"&gt;=0")))*100)</f>
        <v/>
      </c>
      <c r="N61" s="13" t="str">
        <f aca="false">IF(B61="","",IFERROR(INDEX(UNITS!$E$2:$E$2000,MATCH(B61,UNITS!$A$2:$A$2000,0)),""))</f>
        <v/>
      </c>
      <c r="O61" s="12" t="str">
        <f aca="false">IF(A61="","",IFERROR(COUNTIFS(SCORES!$C$2:$C$2000,A61,SCORES!$B$2:$B$2000,"C",SCORES!$D$2:$D$2000,"&gt;=4")/COUNTIFS(SCORES!$C$2:$C$2000,A61,SCORES!$B$2:$B$2000,"C",SCORES!$D$2:$D$2000,"&gt;=0"),""))</f>
        <v/>
      </c>
      <c r="P61" s="12" t="str">
        <f aca="false">IF(A61="","",IFERROR(COUNTIFS(SCORES!$C$2:$C$2000,A61,SCORES!$B$2:$B$2000,"J",SCORES!$D$2:$D$2000,"&gt;=4")/COUNTIFS(SCORES!$C$2:$C$2000,A61,SCORES!$B$2:$B$2000,"J",SCORES!$D$2:$D$2000,"&gt;=0"),""))</f>
        <v/>
      </c>
      <c r="Q61" s="13" t="str">
        <f aca="false">IF(OR(O61="",P61=""),"",(O61-P61)*100)</f>
        <v/>
      </c>
    </row>
    <row r="62" customFormat="false" ht="15" hidden="false" customHeight="false" outlineLevel="0" collapsed="false">
      <c r="A62" s="10" t="str">
        <f aca="false" t="array" ref="A62:A62">IFERROR(INDEX(CHECKS!$A$2:$A$2000,SMALL(IF(CHECKS!$E$2:$E$2000="y",ROW(CHECKS!$E$2:$E$2000)-1),58)),"")</f>
        <v/>
      </c>
      <c r="B62" s="10" t="str">
        <f aca="false">IF(A62="","",INDEX(CHECKS!$C$2:$C$2000,MATCH(A62,CHECKS!$A$2:$A$2000,0)))</f>
        <v/>
      </c>
      <c r="C62" s="10" t="str">
        <f aca="false">IF(A62="","",SUMIFS(RECHECKS!$G$2:$G$2000,RECHECKS!$C$2:$C$2000,A62))</f>
        <v/>
      </c>
      <c r="D62" s="14" t="str">
        <f aca="false">IF(OR(A62="",C62=0),"",SUMIFS(RECHECKS!$F$2:$F$2000,RECHECKS!$C$2:$C$2000,A62,RECHECKS!$G$2:$G$2000,1)/(5*C62))</f>
        <v/>
      </c>
      <c r="E62" s="14" t="str">
        <f aca="false">IF(OR(A62="",C62=0),"",SUMIFS(RECHECKS!$D$2:$D$2000,RECHECKS!$C$2:$C$2000,A62,RECHECKS!$G$2:$G$2000,1)/(3*C62))</f>
        <v/>
      </c>
      <c r="F62" s="15" t="str">
        <f aca="false">IF(D62="","",(E62-D62)*100)</f>
        <v/>
      </c>
      <c r="G62" s="10" t="str">
        <f aca="false">IF(A62="","",INDEX(CHECKS!$F$2:$F$2000,MATCH(A62,CHECKS!$A$2:$A$2000,0))&amp;"")</f>
        <v/>
      </c>
      <c r="H62" s="10" t="str">
        <f aca="false">IF(OR(A62="",G62=""),"",SUMIFS(RECHECKS!$J$2:$J$2000,RECHECKS!$C$2:$C$2000,A62))</f>
        <v/>
      </c>
      <c r="I62" s="14" t="str">
        <f aca="false">IF(OR(H62="",H62=0),"",SUMIFS(RECHECKS!$I$2:$I$2000,RECHECKS!$C$2:$C$2000,A62,RECHECKS!$J$2:$J$2000,1)/(5*H62))</f>
        <v/>
      </c>
      <c r="J62" s="14" t="str">
        <f aca="false">IF(OR(H62="",H62=0),"",SUMIFS(RECHECKS!$E$2:$E$2000,RECHECKS!$C$2:$C$2000,A62,RECHECKS!$J$2:$J$2000,1)/(2*H62))</f>
        <v/>
      </c>
      <c r="K62" s="15" t="str">
        <f aca="false">IF(I62="","",(J62-I62)*100)</f>
        <v/>
      </c>
      <c r="L62" s="15" t="str">
        <f aca="false">IF(F62="","",IF(K62="",F62,F62-K62))</f>
        <v/>
      </c>
      <c r="M62" s="15" t="str">
        <f aca="false">IF(A62="","",(SUMIFS(SCORES!$D$2:$D$2000,SCORES!$C$2:$C$2000,A62)/(5*COUNTIFS(SCORES!$C$2:$C$2000,A62,SCORES!$D$2:$D$2000,"&gt;=0"))-SUMIFS(SCORES!$D$2:$D$2000,SCORES!$D$2:$D$2000,"&gt;=0")/(5*COUNTIFS(SCORES!$D$2:$D$2000,"&gt;=0")))*100)</f>
        <v/>
      </c>
      <c r="N62" s="15" t="str">
        <f aca="false">IF(B62="","",IFERROR(INDEX(UNITS!$E$2:$E$2000,MATCH(B62,UNITS!$A$2:$A$2000,0)),""))</f>
        <v/>
      </c>
      <c r="O62" s="14" t="str">
        <f aca="false">IF(A62="","",IFERROR(COUNTIFS(SCORES!$C$2:$C$2000,A62,SCORES!$B$2:$B$2000,"C",SCORES!$D$2:$D$2000,"&gt;=4")/COUNTIFS(SCORES!$C$2:$C$2000,A62,SCORES!$B$2:$B$2000,"C",SCORES!$D$2:$D$2000,"&gt;=0"),""))</f>
        <v/>
      </c>
      <c r="P62" s="14" t="str">
        <f aca="false">IF(A62="","",IFERROR(COUNTIFS(SCORES!$C$2:$C$2000,A62,SCORES!$B$2:$B$2000,"J",SCORES!$D$2:$D$2000,"&gt;=4")/COUNTIFS(SCORES!$C$2:$C$2000,A62,SCORES!$B$2:$B$2000,"J",SCORES!$D$2:$D$2000,"&gt;=0"),""))</f>
        <v/>
      </c>
      <c r="Q62" s="15" t="str">
        <f aca="false">IF(OR(O62="",P62=""),"",(O62-P62)*100)</f>
        <v/>
      </c>
    </row>
    <row r="63" customFormat="false" ht="15" hidden="false" customHeight="false" outlineLevel="0" collapsed="false">
      <c r="A63" s="7" t="str">
        <f aca="false" t="array" ref="A63:A63">IFERROR(INDEX(CHECKS!$A$2:$A$2000,SMALL(IF(CHECKS!$E$2:$E$2000="y",ROW(CHECKS!$E$2:$E$2000)-1),59)),"")</f>
        <v/>
      </c>
      <c r="B63" s="7" t="str">
        <f aca="false">IF(A63="","",INDEX(CHECKS!$C$2:$C$2000,MATCH(A63,CHECKS!$A$2:$A$2000,0)))</f>
        <v/>
      </c>
      <c r="C63" s="7" t="str">
        <f aca="false">IF(A63="","",SUMIFS(RECHECKS!$G$2:$G$2000,RECHECKS!$C$2:$C$2000,A63))</f>
        <v/>
      </c>
      <c r="D63" s="12" t="str">
        <f aca="false">IF(OR(A63="",C63=0),"",SUMIFS(RECHECKS!$F$2:$F$2000,RECHECKS!$C$2:$C$2000,A63,RECHECKS!$G$2:$G$2000,1)/(5*C63))</f>
        <v/>
      </c>
      <c r="E63" s="12" t="str">
        <f aca="false">IF(OR(A63="",C63=0),"",SUMIFS(RECHECKS!$D$2:$D$2000,RECHECKS!$C$2:$C$2000,A63,RECHECKS!$G$2:$G$2000,1)/(3*C63))</f>
        <v/>
      </c>
      <c r="F63" s="13" t="str">
        <f aca="false">IF(D63="","",(E63-D63)*100)</f>
        <v/>
      </c>
      <c r="G63" s="7" t="str">
        <f aca="false">IF(A63="","",INDEX(CHECKS!$F$2:$F$2000,MATCH(A63,CHECKS!$A$2:$A$2000,0))&amp;"")</f>
        <v/>
      </c>
      <c r="H63" s="7" t="str">
        <f aca="false">IF(OR(A63="",G63=""),"",SUMIFS(RECHECKS!$J$2:$J$2000,RECHECKS!$C$2:$C$2000,A63))</f>
        <v/>
      </c>
      <c r="I63" s="12" t="str">
        <f aca="false">IF(OR(H63="",H63=0),"",SUMIFS(RECHECKS!$I$2:$I$2000,RECHECKS!$C$2:$C$2000,A63,RECHECKS!$J$2:$J$2000,1)/(5*H63))</f>
        <v/>
      </c>
      <c r="J63" s="12" t="str">
        <f aca="false">IF(OR(H63="",H63=0),"",SUMIFS(RECHECKS!$E$2:$E$2000,RECHECKS!$C$2:$C$2000,A63,RECHECKS!$J$2:$J$2000,1)/(2*H63))</f>
        <v/>
      </c>
      <c r="K63" s="13" t="str">
        <f aca="false">IF(I63="","",(J63-I63)*100)</f>
        <v/>
      </c>
      <c r="L63" s="13" t="str">
        <f aca="false">IF(F63="","",IF(K63="",F63,F63-K63))</f>
        <v/>
      </c>
      <c r="M63" s="13" t="str">
        <f aca="false">IF(A63="","",(SUMIFS(SCORES!$D$2:$D$2000,SCORES!$C$2:$C$2000,A63)/(5*COUNTIFS(SCORES!$C$2:$C$2000,A63,SCORES!$D$2:$D$2000,"&gt;=0"))-SUMIFS(SCORES!$D$2:$D$2000,SCORES!$D$2:$D$2000,"&gt;=0")/(5*COUNTIFS(SCORES!$D$2:$D$2000,"&gt;=0")))*100)</f>
        <v/>
      </c>
      <c r="N63" s="13" t="str">
        <f aca="false">IF(B63="","",IFERROR(INDEX(UNITS!$E$2:$E$2000,MATCH(B63,UNITS!$A$2:$A$2000,0)),""))</f>
        <v/>
      </c>
      <c r="O63" s="12" t="str">
        <f aca="false">IF(A63="","",IFERROR(COUNTIFS(SCORES!$C$2:$C$2000,A63,SCORES!$B$2:$B$2000,"C",SCORES!$D$2:$D$2000,"&gt;=4")/COUNTIFS(SCORES!$C$2:$C$2000,A63,SCORES!$B$2:$B$2000,"C",SCORES!$D$2:$D$2000,"&gt;=0"),""))</f>
        <v/>
      </c>
      <c r="P63" s="12" t="str">
        <f aca="false">IF(A63="","",IFERROR(COUNTIFS(SCORES!$C$2:$C$2000,A63,SCORES!$B$2:$B$2000,"J",SCORES!$D$2:$D$2000,"&gt;=4")/COUNTIFS(SCORES!$C$2:$C$2000,A63,SCORES!$B$2:$B$2000,"J",SCORES!$D$2:$D$2000,"&gt;=0"),""))</f>
        <v/>
      </c>
      <c r="Q63" s="13" t="str">
        <f aca="false">IF(OR(O63="",P63=""),"",(O63-P63)*100)</f>
        <v/>
      </c>
    </row>
    <row r="64" customFormat="false" ht="15" hidden="false" customHeight="false" outlineLevel="0" collapsed="false">
      <c r="A64" s="10" t="str">
        <f aca="false" t="array" ref="A64:A64">IFERROR(INDEX(CHECKS!$A$2:$A$2000,SMALL(IF(CHECKS!$E$2:$E$2000="y",ROW(CHECKS!$E$2:$E$2000)-1),60)),"")</f>
        <v/>
      </c>
      <c r="B64" s="10" t="str">
        <f aca="false">IF(A64="","",INDEX(CHECKS!$C$2:$C$2000,MATCH(A64,CHECKS!$A$2:$A$2000,0)))</f>
        <v/>
      </c>
      <c r="C64" s="10" t="str">
        <f aca="false">IF(A64="","",SUMIFS(RECHECKS!$G$2:$G$2000,RECHECKS!$C$2:$C$2000,A64))</f>
        <v/>
      </c>
      <c r="D64" s="14" t="str">
        <f aca="false">IF(OR(A64="",C64=0),"",SUMIFS(RECHECKS!$F$2:$F$2000,RECHECKS!$C$2:$C$2000,A64,RECHECKS!$G$2:$G$2000,1)/(5*C64))</f>
        <v/>
      </c>
      <c r="E64" s="14" t="str">
        <f aca="false">IF(OR(A64="",C64=0),"",SUMIFS(RECHECKS!$D$2:$D$2000,RECHECKS!$C$2:$C$2000,A64,RECHECKS!$G$2:$G$2000,1)/(3*C64))</f>
        <v/>
      </c>
      <c r="F64" s="15" t="str">
        <f aca="false">IF(D64="","",(E64-D64)*100)</f>
        <v/>
      </c>
      <c r="G64" s="10" t="str">
        <f aca="false">IF(A64="","",INDEX(CHECKS!$F$2:$F$2000,MATCH(A64,CHECKS!$A$2:$A$2000,0))&amp;"")</f>
        <v/>
      </c>
      <c r="H64" s="10" t="str">
        <f aca="false">IF(OR(A64="",G64=""),"",SUMIFS(RECHECKS!$J$2:$J$2000,RECHECKS!$C$2:$C$2000,A64))</f>
        <v/>
      </c>
      <c r="I64" s="14" t="str">
        <f aca="false">IF(OR(H64="",H64=0),"",SUMIFS(RECHECKS!$I$2:$I$2000,RECHECKS!$C$2:$C$2000,A64,RECHECKS!$J$2:$J$2000,1)/(5*H64))</f>
        <v/>
      </c>
      <c r="J64" s="14" t="str">
        <f aca="false">IF(OR(H64="",H64=0),"",SUMIFS(RECHECKS!$E$2:$E$2000,RECHECKS!$C$2:$C$2000,A64,RECHECKS!$J$2:$J$2000,1)/(2*H64))</f>
        <v/>
      </c>
      <c r="K64" s="15" t="str">
        <f aca="false">IF(I64="","",(J64-I64)*100)</f>
        <v/>
      </c>
      <c r="L64" s="15" t="str">
        <f aca="false">IF(F64="","",IF(K64="",F64,F64-K64))</f>
        <v/>
      </c>
      <c r="M64" s="15" t="str">
        <f aca="false">IF(A64="","",(SUMIFS(SCORES!$D$2:$D$2000,SCORES!$C$2:$C$2000,A64)/(5*COUNTIFS(SCORES!$C$2:$C$2000,A64,SCORES!$D$2:$D$2000,"&gt;=0"))-SUMIFS(SCORES!$D$2:$D$2000,SCORES!$D$2:$D$2000,"&gt;=0")/(5*COUNTIFS(SCORES!$D$2:$D$2000,"&gt;=0")))*100)</f>
        <v/>
      </c>
      <c r="N64" s="15" t="str">
        <f aca="false">IF(B64="","",IFERROR(INDEX(UNITS!$E$2:$E$2000,MATCH(B64,UNITS!$A$2:$A$2000,0)),""))</f>
        <v/>
      </c>
      <c r="O64" s="14" t="str">
        <f aca="false">IF(A64="","",IFERROR(COUNTIFS(SCORES!$C$2:$C$2000,A64,SCORES!$B$2:$B$2000,"C",SCORES!$D$2:$D$2000,"&gt;=4")/COUNTIFS(SCORES!$C$2:$C$2000,A64,SCORES!$B$2:$B$2000,"C",SCORES!$D$2:$D$2000,"&gt;=0"),""))</f>
        <v/>
      </c>
      <c r="P64" s="14" t="str">
        <f aca="false">IF(A64="","",IFERROR(COUNTIFS(SCORES!$C$2:$C$2000,A64,SCORES!$B$2:$B$2000,"J",SCORES!$D$2:$D$2000,"&gt;=4")/COUNTIFS(SCORES!$C$2:$C$2000,A64,SCORES!$B$2:$B$2000,"J",SCORES!$D$2:$D$2000,"&gt;=0"),""))</f>
        <v/>
      </c>
      <c r="Q64" s="15" t="str">
        <f aca="false">IF(OR(O64="",P64=""),"",(O64-P64)*100)</f>
        <v/>
      </c>
    </row>
    <row r="66" customFormat="false" ht="15" hidden="false" customHeight="false" outlineLevel="0" collapsed="false">
      <c r="A66" s="1" t="s">
        <v>55</v>
      </c>
    </row>
    <row r="67" customFormat="false" ht="15" hidden="false" customHeight="false" outlineLevel="0" collapsed="false">
      <c r="A67" s="16" t="s">
        <v>56</v>
      </c>
      <c r="B67" s="16"/>
      <c r="C67" s="16"/>
      <c r="D67" s="17" t="n">
        <f aca="false">COUNT(F5:F64)</f>
        <v>6</v>
      </c>
    </row>
    <row r="68" customFormat="false" ht="15" hidden="false" customHeight="false" outlineLevel="0" collapsed="false">
      <c r="A68" s="16" t="s">
        <v>57</v>
      </c>
      <c r="B68" s="16"/>
      <c r="C68" s="16"/>
      <c r="D68" s="17" t="n">
        <f aca="false">COUNTIF(L5:L64,"&gt;0")</f>
        <v>6</v>
      </c>
    </row>
    <row r="69" customFormat="false" ht="15" hidden="false" customHeight="false" outlineLevel="0" collapsed="false">
      <c r="A69" s="16" t="s">
        <v>58</v>
      </c>
      <c r="B69" s="16"/>
      <c r="C69" s="16"/>
      <c r="D69" s="18" t="n">
        <f aca="false">IFERROR(AVERAGE(F5:F64),"")</f>
        <v>20.3240106864138</v>
      </c>
    </row>
    <row r="70" customFormat="false" ht="15" hidden="false" customHeight="false" outlineLevel="0" collapsed="false">
      <c r="A70" s="16" t="s">
        <v>59</v>
      </c>
      <c r="B70" s="16"/>
      <c r="C70" s="16"/>
      <c r="D70" s="18" t="n">
        <f aca="false">IFERROR(AVERAGE(K5:K64),"")</f>
        <v>-2.46431948665991</v>
      </c>
    </row>
    <row r="71" customFormat="false" ht="15" hidden="false" customHeight="false" outlineLevel="0" collapsed="false">
      <c r="A71" s="16" t="s">
        <v>60</v>
      </c>
      <c r="B71" s="16"/>
      <c r="C71" s="16"/>
      <c r="D71" s="18" t="n">
        <f aca="false">IFERROR(AVERAGE(L5:L64),"")</f>
        <v>22.3776102586304</v>
      </c>
    </row>
    <row r="72" customFormat="false" ht="15" hidden="false" customHeight="false" outlineLevel="0" collapsed="false">
      <c r="A72" s="16" t="s">
        <v>61</v>
      </c>
      <c r="B72" s="16"/>
      <c r="C72" s="16"/>
      <c r="D72" s="17" t="n">
        <f aca="false">SUM(C5:C64)</f>
        <v>256</v>
      </c>
    </row>
    <row r="73" customFormat="false" ht="15" hidden="false" customHeight="false" outlineLevel="0" collapsed="false">
      <c r="A73" s="16" t="s">
        <v>62</v>
      </c>
      <c r="B73" s="16"/>
      <c r="C73" s="16"/>
      <c r="D73" s="17" t="n">
        <f aca="false">COUNTIFS(C5:C64,"&lt;40",C5:C64,"&gt;0")</f>
        <v>0</v>
      </c>
    </row>
  </sheetData>
  <mergeCells count="7">
    <mergeCell ref="A67:C67"/>
    <mergeCell ref="A68:C68"/>
    <mergeCell ref="A69:C69"/>
    <mergeCell ref="A70:C70"/>
    <mergeCell ref="A71:C71"/>
    <mergeCell ref="A72:C72"/>
    <mergeCell ref="A73:C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5" min="4" style="0" width="12"/>
  </cols>
  <sheetData>
    <row r="1" customFormat="false" ht="30" hidden="false" customHeight="true" outlineLevel="0" collapsed="false">
      <c r="A1" s="4" t="s">
        <v>63</v>
      </c>
      <c r="B1" s="4" t="s">
        <v>64</v>
      </c>
      <c r="C1" s="4" t="s">
        <v>12</v>
      </c>
      <c r="D1" s="4" t="s">
        <v>65</v>
      </c>
      <c r="E1" s="4" t="s">
        <v>66</v>
      </c>
    </row>
    <row r="2" customFormat="false" ht="15" hidden="false" customHeight="false" outlineLevel="0" collapsed="false">
      <c r="A2" s="5" t="s">
        <v>67</v>
      </c>
      <c r="B2" s="5" t="s">
        <v>68</v>
      </c>
      <c r="C2" s="5" t="s">
        <v>19</v>
      </c>
      <c r="D2" s="5" t="n">
        <v>4</v>
      </c>
      <c r="E2" s="5" t="n">
        <v>3</v>
      </c>
    </row>
    <row r="3" customFormat="false" ht="15" hidden="false" customHeight="false" outlineLevel="0" collapsed="false">
      <c r="A3" s="8" t="s">
        <v>69</v>
      </c>
      <c r="B3" s="8" t="s">
        <v>68</v>
      </c>
      <c r="C3" s="8" t="s">
        <v>19</v>
      </c>
      <c r="D3" s="8" t="s">
        <v>70</v>
      </c>
      <c r="E3" s="8"/>
    </row>
    <row r="4" customFormat="false" ht="15" hidden="false" customHeight="false" outlineLevel="0" collapsed="false">
      <c r="A4" s="5" t="s">
        <v>71</v>
      </c>
      <c r="B4" s="5" t="s">
        <v>68</v>
      </c>
      <c r="C4" s="5" t="s">
        <v>19</v>
      </c>
      <c r="D4" s="5" t="n">
        <v>2</v>
      </c>
      <c r="E4" s="5" t="n">
        <v>2</v>
      </c>
    </row>
    <row r="5" customFormat="false" ht="15" hidden="false" customHeight="false" outlineLevel="0" collapsed="false">
      <c r="A5" s="8" t="s">
        <v>72</v>
      </c>
      <c r="B5" s="8" t="s">
        <v>68</v>
      </c>
      <c r="C5" s="8" t="s">
        <v>19</v>
      </c>
      <c r="D5" s="8" t="n">
        <v>2</v>
      </c>
      <c r="E5" s="8" t="n">
        <v>2</v>
      </c>
    </row>
    <row r="6" customFormat="false" ht="15" hidden="false" customHeight="false" outlineLevel="0" collapsed="false">
      <c r="A6" s="5" t="s">
        <v>73</v>
      </c>
      <c r="B6" s="5" t="s">
        <v>68</v>
      </c>
      <c r="C6" s="5" t="s">
        <v>19</v>
      </c>
      <c r="D6" s="5" t="n">
        <v>1</v>
      </c>
      <c r="E6" s="5" t="n">
        <v>1</v>
      </c>
    </row>
    <row r="7" customFormat="false" ht="15" hidden="false" customHeight="false" outlineLevel="0" collapsed="false">
      <c r="A7" s="8" t="s">
        <v>74</v>
      </c>
      <c r="B7" s="8" t="s">
        <v>68</v>
      </c>
      <c r="C7" s="8" t="s">
        <v>19</v>
      </c>
      <c r="D7" s="8" t="n">
        <v>4</v>
      </c>
      <c r="E7" s="8" t="n">
        <v>3</v>
      </c>
    </row>
    <row r="8" customFormat="false" ht="15" hidden="false" customHeight="false" outlineLevel="0" collapsed="false">
      <c r="A8" s="5" t="s">
        <v>75</v>
      </c>
      <c r="B8" s="5" t="s">
        <v>68</v>
      </c>
      <c r="C8" s="5" t="s">
        <v>19</v>
      </c>
      <c r="D8" s="5" t="n">
        <v>5</v>
      </c>
      <c r="E8" s="5" t="n">
        <v>4</v>
      </c>
    </row>
    <row r="9" customFormat="false" ht="15" hidden="false" customHeight="false" outlineLevel="0" collapsed="false">
      <c r="A9" s="8" t="s">
        <v>76</v>
      </c>
      <c r="B9" s="8" t="s">
        <v>68</v>
      </c>
      <c r="C9" s="8" t="s">
        <v>19</v>
      </c>
      <c r="D9" s="8" t="n">
        <v>3</v>
      </c>
      <c r="E9" s="8" t="n">
        <v>2</v>
      </c>
    </row>
    <row r="10" customFormat="false" ht="15" hidden="false" customHeight="false" outlineLevel="0" collapsed="false">
      <c r="A10" s="5" t="s">
        <v>77</v>
      </c>
      <c r="B10" s="5" t="s">
        <v>68</v>
      </c>
      <c r="C10" s="5" t="s">
        <v>19</v>
      </c>
      <c r="D10" s="5" t="n">
        <v>3</v>
      </c>
      <c r="E10" s="5" t="n">
        <v>2</v>
      </c>
    </row>
    <row r="11" customFormat="false" ht="15" hidden="false" customHeight="false" outlineLevel="0" collapsed="false">
      <c r="A11" s="8" t="s">
        <v>78</v>
      </c>
      <c r="B11" s="8" t="s">
        <v>68</v>
      </c>
      <c r="C11" s="8" t="s">
        <v>19</v>
      </c>
      <c r="D11" s="8" t="n">
        <v>5</v>
      </c>
      <c r="E11" s="8" t="n">
        <v>4</v>
      </c>
    </row>
    <row r="12" customFormat="false" ht="15" hidden="false" customHeight="false" outlineLevel="0" collapsed="false">
      <c r="A12" s="5" t="s">
        <v>79</v>
      </c>
      <c r="B12" s="5" t="s">
        <v>68</v>
      </c>
      <c r="C12" s="5" t="s">
        <v>19</v>
      </c>
      <c r="D12" s="5" t="n">
        <v>4</v>
      </c>
      <c r="E12" s="5" t="n">
        <v>3</v>
      </c>
    </row>
    <row r="13" customFormat="false" ht="15" hidden="false" customHeight="false" outlineLevel="0" collapsed="false">
      <c r="A13" s="8" t="s">
        <v>80</v>
      </c>
      <c r="B13" s="8" t="s">
        <v>68</v>
      </c>
      <c r="C13" s="8" t="s">
        <v>19</v>
      </c>
      <c r="D13" s="8" t="n">
        <v>3</v>
      </c>
      <c r="E13" s="8" t="n">
        <v>2</v>
      </c>
    </row>
    <row r="14" customFormat="false" ht="15" hidden="false" customHeight="false" outlineLevel="0" collapsed="false">
      <c r="A14" s="5" t="s">
        <v>81</v>
      </c>
      <c r="B14" s="5" t="s">
        <v>68</v>
      </c>
      <c r="C14" s="5" t="s">
        <v>19</v>
      </c>
      <c r="D14" s="5" t="n">
        <v>1</v>
      </c>
      <c r="E14" s="5" t="n">
        <v>1</v>
      </c>
    </row>
    <row r="15" customFormat="false" ht="15" hidden="false" customHeight="false" outlineLevel="0" collapsed="false">
      <c r="A15" s="8" t="s">
        <v>82</v>
      </c>
      <c r="B15" s="8" t="s">
        <v>68</v>
      </c>
      <c r="C15" s="8" t="s">
        <v>19</v>
      </c>
      <c r="D15" s="8" t="n">
        <v>5</v>
      </c>
      <c r="E15" s="8" t="n">
        <v>4</v>
      </c>
    </row>
    <row r="16" customFormat="false" ht="15" hidden="false" customHeight="false" outlineLevel="0" collapsed="false">
      <c r="A16" s="5" t="s">
        <v>83</v>
      </c>
      <c r="B16" s="5" t="s">
        <v>68</v>
      </c>
      <c r="C16" s="5" t="s">
        <v>19</v>
      </c>
      <c r="D16" s="5" t="s">
        <v>70</v>
      </c>
      <c r="E16" s="5"/>
    </row>
    <row r="17" customFormat="false" ht="15" hidden="false" customHeight="false" outlineLevel="0" collapsed="false">
      <c r="A17" s="8" t="s">
        <v>84</v>
      </c>
      <c r="B17" s="8" t="s">
        <v>68</v>
      </c>
      <c r="C17" s="8" t="s">
        <v>19</v>
      </c>
      <c r="D17" s="8" t="s">
        <v>70</v>
      </c>
      <c r="E17" s="8"/>
    </row>
    <row r="18" customFormat="false" ht="15" hidden="false" customHeight="false" outlineLevel="0" collapsed="false">
      <c r="A18" s="5" t="s">
        <v>85</v>
      </c>
      <c r="B18" s="5" t="s">
        <v>68</v>
      </c>
      <c r="C18" s="5" t="s">
        <v>19</v>
      </c>
      <c r="D18" s="5" t="n">
        <v>2</v>
      </c>
      <c r="E18" s="5" t="n">
        <v>2</v>
      </c>
    </row>
    <row r="19" customFormat="false" ht="15" hidden="false" customHeight="false" outlineLevel="0" collapsed="false">
      <c r="A19" s="8" t="s">
        <v>86</v>
      </c>
      <c r="B19" s="8" t="s">
        <v>68</v>
      </c>
      <c r="C19" s="8" t="s">
        <v>19</v>
      </c>
      <c r="D19" s="8" t="n">
        <v>2</v>
      </c>
      <c r="E19" s="8" t="n">
        <v>2</v>
      </c>
    </row>
    <row r="20" customFormat="false" ht="15" hidden="false" customHeight="false" outlineLevel="0" collapsed="false">
      <c r="A20" s="5" t="s">
        <v>87</v>
      </c>
      <c r="B20" s="5" t="s">
        <v>68</v>
      </c>
      <c r="C20" s="5" t="s">
        <v>19</v>
      </c>
      <c r="D20" s="5" t="n">
        <v>4</v>
      </c>
      <c r="E20" s="5" t="n">
        <v>3</v>
      </c>
    </row>
    <row r="21" customFormat="false" ht="15" hidden="false" customHeight="false" outlineLevel="0" collapsed="false">
      <c r="A21" s="8" t="s">
        <v>88</v>
      </c>
      <c r="B21" s="8" t="s">
        <v>68</v>
      </c>
      <c r="C21" s="8" t="s">
        <v>19</v>
      </c>
      <c r="D21" s="8" t="n">
        <v>3</v>
      </c>
      <c r="E21" s="8" t="n">
        <v>2</v>
      </c>
    </row>
    <row r="22" customFormat="false" ht="15" hidden="false" customHeight="false" outlineLevel="0" collapsed="false">
      <c r="A22" s="5" t="s">
        <v>89</v>
      </c>
      <c r="B22" s="5" t="s">
        <v>68</v>
      </c>
      <c r="C22" s="5" t="s">
        <v>19</v>
      </c>
      <c r="D22" s="5" t="n">
        <v>3</v>
      </c>
      <c r="E22" s="5" t="n">
        <v>2</v>
      </c>
    </row>
    <row r="23" customFormat="false" ht="15" hidden="false" customHeight="false" outlineLevel="0" collapsed="false">
      <c r="A23" s="8" t="s">
        <v>90</v>
      </c>
      <c r="B23" s="8" t="s">
        <v>68</v>
      </c>
      <c r="C23" s="8" t="s">
        <v>19</v>
      </c>
      <c r="D23" s="8" t="n">
        <v>4</v>
      </c>
      <c r="E23" s="8" t="n">
        <v>3</v>
      </c>
    </row>
    <row r="24" customFormat="false" ht="15" hidden="false" customHeight="false" outlineLevel="0" collapsed="false">
      <c r="A24" s="5" t="s">
        <v>91</v>
      </c>
      <c r="B24" s="5" t="s">
        <v>68</v>
      </c>
      <c r="C24" s="5" t="s">
        <v>19</v>
      </c>
      <c r="D24" s="5" t="n">
        <v>2</v>
      </c>
      <c r="E24" s="5" t="n">
        <v>2</v>
      </c>
    </row>
    <row r="25" customFormat="false" ht="15" hidden="false" customHeight="false" outlineLevel="0" collapsed="false">
      <c r="A25" s="8" t="s">
        <v>92</v>
      </c>
      <c r="B25" s="8" t="s">
        <v>68</v>
      </c>
      <c r="C25" s="8" t="s">
        <v>19</v>
      </c>
      <c r="D25" s="8" t="n">
        <v>2</v>
      </c>
      <c r="E25" s="8" t="n">
        <v>2</v>
      </c>
    </row>
    <row r="26" customFormat="false" ht="15" hidden="false" customHeight="false" outlineLevel="0" collapsed="false">
      <c r="A26" s="5" t="s">
        <v>93</v>
      </c>
      <c r="B26" s="5" t="s">
        <v>68</v>
      </c>
      <c r="C26" s="5" t="s">
        <v>19</v>
      </c>
      <c r="D26" s="5" t="s">
        <v>70</v>
      </c>
      <c r="E26" s="5"/>
    </row>
    <row r="27" customFormat="false" ht="15" hidden="false" customHeight="false" outlineLevel="0" collapsed="false">
      <c r="A27" s="8" t="s">
        <v>67</v>
      </c>
      <c r="B27" s="8" t="s">
        <v>94</v>
      </c>
      <c r="C27" s="8" t="s">
        <v>19</v>
      </c>
      <c r="D27" s="8" t="s">
        <v>70</v>
      </c>
      <c r="E27" s="8"/>
    </row>
    <row r="28" customFormat="false" ht="15" hidden="false" customHeight="false" outlineLevel="0" collapsed="false">
      <c r="A28" s="5" t="s">
        <v>69</v>
      </c>
      <c r="B28" s="5" t="s">
        <v>94</v>
      </c>
      <c r="C28" s="5" t="s">
        <v>19</v>
      </c>
      <c r="D28" s="5" t="n">
        <v>2</v>
      </c>
      <c r="E28" s="5" t="n">
        <v>2</v>
      </c>
    </row>
    <row r="29" customFormat="false" ht="15" hidden="false" customHeight="false" outlineLevel="0" collapsed="false">
      <c r="A29" s="8" t="s">
        <v>71</v>
      </c>
      <c r="B29" s="8" t="s">
        <v>94</v>
      </c>
      <c r="C29" s="8" t="s">
        <v>19</v>
      </c>
      <c r="D29" s="8" t="n">
        <v>4</v>
      </c>
      <c r="E29" s="8" t="n">
        <v>3</v>
      </c>
    </row>
    <row r="30" customFormat="false" ht="15" hidden="false" customHeight="false" outlineLevel="0" collapsed="false">
      <c r="A30" s="5" t="s">
        <v>72</v>
      </c>
      <c r="B30" s="5" t="s">
        <v>94</v>
      </c>
      <c r="C30" s="5" t="s">
        <v>19</v>
      </c>
      <c r="D30" s="5" t="n">
        <v>3</v>
      </c>
      <c r="E30" s="5" t="n">
        <v>2</v>
      </c>
    </row>
    <row r="31" customFormat="false" ht="15" hidden="false" customHeight="false" outlineLevel="0" collapsed="false">
      <c r="A31" s="8" t="s">
        <v>73</v>
      </c>
      <c r="B31" s="8" t="s">
        <v>94</v>
      </c>
      <c r="C31" s="8" t="s">
        <v>19</v>
      </c>
      <c r="D31" s="8" t="n">
        <v>4</v>
      </c>
      <c r="E31" s="8" t="n">
        <v>3</v>
      </c>
    </row>
    <row r="32" customFormat="false" ht="15" hidden="false" customHeight="false" outlineLevel="0" collapsed="false">
      <c r="A32" s="5" t="s">
        <v>74</v>
      </c>
      <c r="B32" s="5" t="s">
        <v>94</v>
      </c>
      <c r="C32" s="5" t="s">
        <v>19</v>
      </c>
      <c r="D32" s="5" t="n">
        <v>2</v>
      </c>
      <c r="E32" s="5" t="n">
        <v>2</v>
      </c>
    </row>
    <row r="33" customFormat="false" ht="15" hidden="false" customHeight="false" outlineLevel="0" collapsed="false">
      <c r="A33" s="8" t="s">
        <v>75</v>
      </c>
      <c r="B33" s="8" t="s">
        <v>94</v>
      </c>
      <c r="C33" s="8" t="s">
        <v>19</v>
      </c>
      <c r="D33" s="8" t="n">
        <v>3</v>
      </c>
      <c r="E33" s="8" t="n">
        <v>2</v>
      </c>
    </row>
    <row r="34" customFormat="false" ht="15" hidden="false" customHeight="false" outlineLevel="0" collapsed="false">
      <c r="A34" s="5" t="s">
        <v>76</v>
      </c>
      <c r="B34" s="5" t="s">
        <v>94</v>
      </c>
      <c r="C34" s="5" t="s">
        <v>19</v>
      </c>
      <c r="D34" s="5" t="n">
        <v>1</v>
      </c>
      <c r="E34" s="5" t="n">
        <v>1</v>
      </c>
    </row>
    <row r="35" customFormat="false" ht="15" hidden="false" customHeight="false" outlineLevel="0" collapsed="false">
      <c r="A35" s="8" t="s">
        <v>77</v>
      </c>
      <c r="B35" s="8" t="s">
        <v>94</v>
      </c>
      <c r="C35" s="8" t="s">
        <v>19</v>
      </c>
      <c r="D35" s="8" t="n">
        <v>4</v>
      </c>
      <c r="E35" s="8" t="n">
        <v>3</v>
      </c>
    </row>
    <row r="36" customFormat="false" ht="15" hidden="false" customHeight="false" outlineLevel="0" collapsed="false">
      <c r="A36" s="5" t="s">
        <v>78</v>
      </c>
      <c r="B36" s="5" t="s">
        <v>94</v>
      </c>
      <c r="C36" s="5" t="s">
        <v>19</v>
      </c>
      <c r="D36" s="5" t="n">
        <v>2</v>
      </c>
      <c r="E36" s="5" t="n">
        <v>2</v>
      </c>
    </row>
    <row r="37" customFormat="false" ht="15" hidden="false" customHeight="false" outlineLevel="0" collapsed="false">
      <c r="A37" s="8" t="s">
        <v>79</v>
      </c>
      <c r="B37" s="8" t="s">
        <v>94</v>
      </c>
      <c r="C37" s="8" t="s">
        <v>19</v>
      </c>
      <c r="D37" s="8" t="n">
        <v>5</v>
      </c>
      <c r="E37" s="8" t="n">
        <v>4</v>
      </c>
    </row>
    <row r="38" customFormat="false" ht="15" hidden="false" customHeight="false" outlineLevel="0" collapsed="false">
      <c r="A38" s="5" t="s">
        <v>80</v>
      </c>
      <c r="B38" s="5" t="s">
        <v>94</v>
      </c>
      <c r="C38" s="5" t="s">
        <v>19</v>
      </c>
      <c r="D38" s="5" t="n">
        <v>3</v>
      </c>
      <c r="E38" s="5" t="n">
        <v>2</v>
      </c>
    </row>
    <row r="39" customFormat="false" ht="15" hidden="false" customHeight="false" outlineLevel="0" collapsed="false">
      <c r="A39" s="8" t="s">
        <v>81</v>
      </c>
      <c r="B39" s="8" t="s">
        <v>94</v>
      </c>
      <c r="C39" s="8" t="s">
        <v>19</v>
      </c>
      <c r="D39" s="8" t="n">
        <v>0</v>
      </c>
      <c r="E39" s="8" t="n">
        <v>1</v>
      </c>
    </row>
    <row r="40" customFormat="false" ht="15" hidden="false" customHeight="false" outlineLevel="0" collapsed="false">
      <c r="A40" s="5" t="s">
        <v>82</v>
      </c>
      <c r="B40" s="5" t="s">
        <v>94</v>
      </c>
      <c r="C40" s="5" t="s">
        <v>19</v>
      </c>
      <c r="D40" s="5" t="s">
        <v>70</v>
      </c>
      <c r="E40" s="5"/>
    </row>
    <row r="41" customFormat="false" ht="15" hidden="false" customHeight="false" outlineLevel="0" collapsed="false">
      <c r="A41" s="8" t="s">
        <v>83</v>
      </c>
      <c r="B41" s="8" t="s">
        <v>94</v>
      </c>
      <c r="C41" s="8" t="s">
        <v>19</v>
      </c>
      <c r="D41" s="8" t="n">
        <v>5</v>
      </c>
      <c r="E41" s="8" t="n">
        <v>4</v>
      </c>
    </row>
    <row r="42" customFormat="false" ht="15" hidden="false" customHeight="false" outlineLevel="0" collapsed="false">
      <c r="A42" s="5" t="s">
        <v>84</v>
      </c>
      <c r="B42" s="5" t="s">
        <v>94</v>
      </c>
      <c r="C42" s="5" t="s">
        <v>19</v>
      </c>
      <c r="D42" s="5" t="n">
        <v>1</v>
      </c>
      <c r="E42" s="5" t="n">
        <v>1</v>
      </c>
    </row>
    <row r="43" customFormat="false" ht="15" hidden="false" customHeight="false" outlineLevel="0" collapsed="false">
      <c r="A43" s="8" t="s">
        <v>85</v>
      </c>
      <c r="B43" s="8" t="s">
        <v>94</v>
      </c>
      <c r="C43" s="8" t="s">
        <v>19</v>
      </c>
      <c r="D43" s="8" t="n">
        <v>4</v>
      </c>
      <c r="E43" s="8" t="n">
        <v>3</v>
      </c>
    </row>
    <row r="44" customFormat="false" ht="15" hidden="false" customHeight="false" outlineLevel="0" collapsed="false">
      <c r="A44" s="5" t="s">
        <v>86</v>
      </c>
      <c r="B44" s="5" t="s">
        <v>94</v>
      </c>
      <c r="C44" s="5" t="s">
        <v>19</v>
      </c>
      <c r="D44" s="5" t="n">
        <v>3</v>
      </c>
      <c r="E44" s="5" t="n">
        <v>2</v>
      </c>
    </row>
    <row r="45" customFormat="false" ht="15" hidden="false" customHeight="false" outlineLevel="0" collapsed="false">
      <c r="A45" s="8" t="s">
        <v>87</v>
      </c>
      <c r="B45" s="8" t="s">
        <v>94</v>
      </c>
      <c r="C45" s="8" t="s">
        <v>19</v>
      </c>
      <c r="D45" s="8" t="n">
        <v>0</v>
      </c>
      <c r="E45" s="8" t="n">
        <v>1</v>
      </c>
    </row>
    <row r="46" customFormat="false" ht="15" hidden="false" customHeight="false" outlineLevel="0" collapsed="false">
      <c r="A46" s="5" t="s">
        <v>88</v>
      </c>
      <c r="B46" s="5" t="s">
        <v>94</v>
      </c>
      <c r="C46" s="5" t="s">
        <v>19</v>
      </c>
      <c r="D46" s="5" t="n">
        <v>2</v>
      </c>
      <c r="E46" s="5" t="n">
        <v>2</v>
      </c>
    </row>
    <row r="47" customFormat="false" ht="15" hidden="false" customHeight="false" outlineLevel="0" collapsed="false">
      <c r="A47" s="8" t="s">
        <v>89</v>
      </c>
      <c r="B47" s="8" t="s">
        <v>94</v>
      </c>
      <c r="C47" s="8" t="s">
        <v>19</v>
      </c>
      <c r="D47" s="8" t="n">
        <v>5</v>
      </c>
      <c r="E47" s="8" t="n">
        <v>4</v>
      </c>
    </row>
    <row r="48" customFormat="false" ht="15" hidden="false" customHeight="false" outlineLevel="0" collapsed="false">
      <c r="A48" s="5" t="s">
        <v>90</v>
      </c>
      <c r="B48" s="5" t="s">
        <v>94</v>
      </c>
      <c r="C48" s="5" t="s">
        <v>19</v>
      </c>
      <c r="D48" s="5" t="n">
        <v>1</v>
      </c>
      <c r="E48" s="5" t="n">
        <v>1</v>
      </c>
    </row>
    <row r="49" customFormat="false" ht="15" hidden="false" customHeight="false" outlineLevel="0" collapsed="false">
      <c r="A49" s="8" t="s">
        <v>91</v>
      </c>
      <c r="B49" s="8" t="s">
        <v>94</v>
      </c>
      <c r="C49" s="8" t="s">
        <v>19</v>
      </c>
      <c r="D49" s="8" t="n">
        <v>2</v>
      </c>
      <c r="E49" s="8" t="n">
        <v>2</v>
      </c>
    </row>
    <row r="50" customFormat="false" ht="15" hidden="false" customHeight="false" outlineLevel="0" collapsed="false">
      <c r="A50" s="5" t="s">
        <v>92</v>
      </c>
      <c r="B50" s="5" t="s">
        <v>94</v>
      </c>
      <c r="C50" s="5" t="s">
        <v>19</v>
      </c>
      <c r="D50" s="5" t="n">
        <v>3</v>
      </c>
      <c r="E50" s="5" t="n">
        <v>2</v>
      </c>
    </row>
    <row r="51" customFormat="false" ht="15" hidden="false" customHeight="false" outlineLevel="0" collapsed="false">
      <c r="A51" s="8" t="s">
        <v>93</v>
      </c>
      <c r="B51" s="8" t="s">
        <v>94</v>
      </c>
      <c r="C51" s="8" t="s">
        <v>19</v>
      </c>
      <c r="D51" s="8" t="n">
        <v>4</v>
      </c>
      <c r="E51" s="8" t="n">
        <v>3</v>
      </c>
    </row>
    <row r="52" customFormat="false" ht="15" hidden="false" customHeight="false" outlineLevel="0" collapsed="false">
      <c r="A52" s="5" t="s">
        <v>67</v>
      </c>
      <c r="B52" s="5" t="s">
        <v>68</v>
      </c>
      <c r="C52" s="5" t="s">
        <v>23</v>
      </c>
      <c r="D52" s="5" t="n">
        <v>3</v>
      </c>
      <c r="E52" s="5" t="n">
        <v>2</v>
      </c>
    </row>
    <row r="53" customFormat="false" ht="15" hidden="false" customHeight="false" outlineLevel="0" collapsed="false">
      <c r="A53" s="8" t="s">
        <v>69</v>
      </c>
      <c r="B53" s="8" t="s">
        <v>68</v>
      </c>
      <c r="C53" s="8" t="s">
        <v>23</v>
      </c>
      <c r="D53" s="8" t="n">
        <v>2</v>
      </c>
      <c r="E53" s="8" t="n">
        <v>2</v>
      </c>
    </row>
    <row r="54" customFormat="false" ht="15" hidden="false" customHeight="false" outlineLevel="0" collapsed="false">
      <c r="A54" s="5" t="s">
        <v>71</v>
      </c>
      <c r="B54" s="5" t="s">
        <v>68</v>
      </c>
      <c r="C54" s="5" t="s">
        <v>23</v>
      </c>
      <c r="D54" s="5" t="s">
        <v>70</v>
      </c>
      <c r="E54" s="5"/>
    </row>
    <row r="55" customFormat="false" ht="15" hidden="false" customHeight="false" outlineLevel="0" collapsed="false">
      <c r="A55" s="8" t="s">
        <v>72</v>
      </c>
      <c r="B55" s="8" t="s">
        <v>68</v>
      </c>
      <c r="C55" s="8" t="s">
        <v>23</v>
      </c>
      <c r="D55" s="8" t="n">
        <v>3</v>
      </c>
      <c r="E55" s="8" t="n">
        <v>2</v>
      </c>
    </row>
    <row r="56" customFormat="false" ht="15" hidden="false" customHeight="false" outlineLevel="0" collapsed="false">
      <c r="A56" s="5" t="s">
        <v>73</v>
      </c>
      <c r="B56" s="5" t="s">
        <v>68</v>
      </c>
      <c r="C56" s="5" t="s">
        <v>23</v>
      </c>
      <c r="D56" s="5" t="n">
        <v>2</v>
      </c>
      <c r="E56" s="5" t="n">
        <v>2</v>
      </c>
    </row>
    <row r="57" customFormat="false" ht="15" hidden="false" customHeight="false" outlineLevel="0" collapsed="false">
      <c r="A57" s="8" t="s">
        <v>74</v>
      </c>
      <c r="B57" s="8" t="s">
        <v>68</v>
      </c>
      <c r="C57" s="8" t="s">
        <v>23</v>
      </c>
      <c r="D57" s="8" t="s">
        <v>70</v>
      </c>
      <c r="E57" s="8"/>
    </row>
    <row r="58" customFormat="false" ht="15" hidden="false" customHeight="false" outlineLevel="0" collapsed="false">
      <c r="A58" s="5" t="s">
        <v>75</v>
      </c>
      <c r="B58" s="5" t="s">
        <v>68</v>
      </c>
      <c r="C58" s="5" t="s">
        <v>23</v>
      </c>
      <c r="D58" s="5" t="n">
        <v>3</v>
      </c>
      <c r="E58" s="5" t="n">
        <v>2</v>
      </c>
    </row>
    <row r="59" customFormat="false" ht="15" hidden="false" customHeight="false" outlineLevel="0" collapsed="false">
      <c r="A59" s="8" t="s">
        <v>76</v>
      </c>
      <c r="B59" s="8" t="s">
        <v>68</v>
      </c>
      <c r="C59" s="8" t="s">
        <v>23</v>
      </c>
      <c r="D59" s="8" t="n">
        <v>3</v>
      </c>
      <c r="E59" s="8" t="n">
        <v>2</v>
      </c>
    </row>
    <row r="60" customFormat="false" ht="15" hidden="false" customHeight="false" outlineLevel="0" collapsed="false">
      <c r="A60" s="5" t="s">
        <v>77</v>
      </c>
      <c r="B60" s="5" t="s">
        <v>68</v>
      </c>
      <c r="C60" s="5" t="s">
        <v>23</v>
      </c>
      <c r="D60" s="5" t="n">
        <v>4</v>
      </c>
      <c r="E60" s="5" t="n">
        <v>3</v>
      </c>
    </row>
    <row r="61" customFormat="false" ht="15" hidden="false" customHeight="false" outlineLevel="0" collapsed="false">
      <c r="A61" s="8" t="s">
        <v>78</v>
      </c>
      <c r="B61" s="8" t="s">
        <v>68</v>
      </c>
      <c r="C61" s="8" t="s">
        <v>23</v>
      </c>
      <c r="D61" s="8" t="n">
        <v>5</v>
      </c>
      <c r="E61" s="8" t="n">
        <v>4</v>
      </c>
    </row>
    <row r="62" customFormat="false" ht="15" hidden="false" customHeight="false" outlineLevel="0" collapsed="false">
      <c r="A62" s="5" t="s">
        <v>79</v>
      </c>
      <c r="B62" s="5" t="s">
        <v>68</v>
      </c>
      <c r="C62" s="5" t="s">
        <v>23</v>
      </c>
      <c r="D62" s="5" t="n">
        <v>5</v>
      </c>
      <c r="E62" s="5" t="n">
        <v>4</v>
      </c>
    </row>
    <row r="63" customFormat="false" ht="15" hidden="false" customHeight="false" outlineLevel="0" collapsed="false">
      <c r="A63" s="8" t="s">
        <v>80</v>
      </c>
      <c r="B63" s="8" t="s">
        <v>68</v>
      </c>
      <c r="C63" s="8" t="s">
        <v>23</v>
      </c>
      <c r="D63" s="8" t="n">
        <v>4</v>
      </c>
      <c r="E63" s="8" t="n">
        <v>3</v>
      </c>
    </row>
    <row r="64" customFormat="false" ht="15" hidden="false" customHeight="false" outlineLevel="0" collapsed="false">
      <c r="A64" s="5" t="s">
        <v>81</v>
      </c>
      <c r="B64" s="5" t="s">
        <v>68</v>
      </c>
      <c r="C64" s="5" t="s">
        <v>23</v>
      </c>
      <c r="D64" s="5" t="n">
        <v>1</v>
      </c>
      <c r="E64" s="5" t="n">
        <v>1</v>
      </c>
    </row>
    <row r="65" customFormat="false" ht="15" hidden="false" customHeight="false" outlineLevel="0" collapsed="false">
      <c r="A65" s="8" t="s">
        <v>82</v>
      </c>
      <c r="B65" s="8" t="s">
        <v>68</v>
      </c>
      <c r="C65" s="8" t="s">
        <v>23</v>
      </c>
      <c r="D65" s="8" t="n">
        <v>3</v>
      </c>
      <c r="E65" s="8" t="n">
        <v>2</v>
      </c>
    </row>
    <row r="66" customFormat="false" ht="15" hidden="false" customHeight="false" outlineLevel="0" collapsed="false">
      <c r="A66" s="5" t="s">
        <v>83</v>
      </c>
      <c r="B66" s="5" t="s">
        <v>68</v>
      </c>
      <c r="C66" s="5" t="s">
        <v>23</v>
      </c>
      <c r="D66" s="5" t="n">
        <v>5</v>
      </c>
      <c r="E66" s="5" t="n">
        <v>4</v>
      </c>
    </row>
    <row r="67" customFormat="false" ht="15" hidden="false" customHeight="false" outlineLevel="0" collapsed="false">
      <c r="A67" s="8" t="s">
        <v>84</v>
      </c>
      <c r="B67" s="8" t="s">
        <v>68</v>
      </c>
      <c r="C67" s="8" t="s">
        <v>23</v>
      </c>
      <c r="D67" s="8" t="n">
        <v>3</v>
      </c>
      <c r="E67" s="8" t="n">
        <v>2</v>
      </c>
    </row>
    <row r="68" customFormat="false" ht="15" hidden="false" customHeight="false" outlineLevel="0" collapsed="false">
      <c r="A68" s="5" t="s">
        <v>85</v>
      </c>
      <c r="B68" s="5" t="s">
        <v>68</v>
      </c>
      <c r="C68" s="5" t="s">
        <v>23</v>
      </c>
      <c r="D68" s="5" t="n">
        <v>1</v>
      </c>
      <c r="E68" s="5" t="n">
        <v>1</v>
      </c>
    </row>
    <row r="69" customFormat="false" ht="15" hidden="false" customHeight="false" outlineLevel="0" collapsed="false">
      <c r="A69" s="8" t="s">
        <v>86</v>
      </c>
      <c r="B69" s="8" t="s">
        <v>68</v>
      </c>
      <c r="C69" s="8" t="s">
        <v>23</v>
      </c>
      <c r="D69" s="8" t="n">
        <v>0</v>
      </c>
      <c r="E69" s="8" t="n">
        <v>1</v>
      </c>
    </row>
    <row r="70" customFormat="false" ht="15" hidden="false" customHeight="false" outlineLevel="0" collapsed="false">
      <c r="A70" s="5" t="s">
        <v>87</v>
      </c>
      <c r="B70" s="5" t="s">
        <v>68</v>
      </c>
      <c r="C70" s="5" t="s">
        <v>23</v>
      </c>
      <c r="D70" s="5" t="n">
        <v>4</v>
      </c>
      <c r="E70" s="5" t="n">
        <v>3</v>
      </c>
    </row>
    <row r="71" customFormat="false" ht="15" hidden="false" customHeight="false" outlineLevel="0" collapsed="false">
      <c r="A71" s="8" t="s">
        <v>88</v>
      </c>
      <c r="B71" s="8" t="s">
        <v>68</v>
      </c>
      <c r="C71" s="8" t="s">
        <v>23</v>
      </c>
      <c r="D71" s="8" t="n">
        <v>3</v>
      </c>
      <c r="E71" s="8" t="n">
        <v>2</v>
      </c>
    </row>
    <row r="72" customFormat="false" ht="15" hidden="false" customHeight="false" outlineLevel="0" collapsed="false">
      <c r="A72" s="5" t="s">
        <v>89</v>
      </c>
      <c r="B72" s="5" t="s">
        <v>68</v>
      </c>
      <c r="C72" s="5" t="s">
        <v>23</v>
      </c>
      <c r="D72" s="5" t="n">
        <v>5</v>
      </c>
      <c r="E72" s="5" t="n">
        <v>4</v>
      </c>
    </row>
    <row r="73" customFormat="false" ht="15" hidden="false" customHeight="false" outlineLevel="0" collapsed="false">
      <c r="A73" s="8" t="s">
        <v>90</v>
      </c>
      <c r="B73" s="8" t="s">
        <v>68</v>
      </c>
      <c r="C73" s="8" t="s">
        <v>23</v>
      </c>
      <c r="D73" s="8" t="n">
        <v>1</v>
      </c>
      <c r="E73" s="8" t="n">
        <v>1</v>
      </c>
    </row>
    <row r="74" customFormat="false" ht="15" hidden="false" customHeight="false" outlineLevel="0" collapsed="false">
      <c r="A74" s="5" t="s">
        <v>91</v>
      </c>
      <c r="B74" s="5" t="s">
        <v>68</v>
      </c>
      <c r="C74" s="5" t="s">
        <v>23</v>
      </c>
      <c r="D74" s="5" t="n">
        <v>3</v>
      </c>
      <c r="E74" s="5" t="n">
        <v>2</v>
      </c>
    </row>
    <row r="75" customFormat="false" ht="15" hidden="false" customHeight="false" outlineLevel="0" collapsed="false">
      <c r="A75" s="8" t="s">
        <v>92</v>
      </c>
      <c r="B75" s="8" t="s">
        <v>68</v>
      </c>
      <c r="C75" s="8" t="s">
        <v>23</v>
      </c>
      <c r="D75" s="8" t="s">
        <v>70</v>
      </c>
      <c r="E75" s="8"/>
    </row>
    <row r="76" customFormat="false" ht="15" hidden="false" customHeight="false" outlineLevel="0" collapsed="false">
      <c r="A76" s="5" t="s">
        <v>93</v>
      </c>
      <c r="B76" s="5" t="s">
        <v>68</v>
      </c>
      <c r="C76" s="5" t="s">
        <v>23</v>
      </c>
      <c r="D76" s="5" t="n">
        <v>1</v>
      </c>
      <c r="E76" s="5" t="n">
        <v>1</v>
      </c>
    </row>
    <row r="77" customFormat="false" ht="15" hidden="false" customHeight="false" outlineLevel="0" collapsed="false">
      <c r="A77" s="8" t="s">
        <v>67</v>
      </c>
      <c r="B77" s="8" t="s">
        <v>94</v>
      </c>
      <c r="C77" s="8" t="s">
        <v>23</v>
      </c>
      <c r="D77" s="8" t="n">
        <v>1</v>
      </c>
      <c r="E77" s="8" t="n">
        <v>1</v>
      </c>
    </row>
    <row r="78" customFormat="false" ht="15" hidden="false" customHeight="false" outlineLevel="0" collapsed="false">
      <c r="A78" s="5" t="s">
        <v>69</v>
      </c>
      <c r="B78" s="5" t="s">
        <v>94</v>
      </c>
      <c r="C78" s="5" t="s">
        <v>23</v>
      </c>
      <c r="D78" s="5" t="n">
        <v>3</v>
      </c>
      <c r="E78" s="5" t="n">
        <v>2</v>
      </c>
    </row>
    <row r="79" customFormat="false" ht="15" hidden="false" customHeight="false" outlineLevel="0" collapsed="false">
      <c r="A79" s="8" t="s">
        <v>71</v>
      </c>
      <c r="B79" s="8" t="s">
        <v>94</v>
      </c>
      <c r="C79" s="8" t="s">
        <v>23</v>
      </c>
      <c r="D79" s="8" t="n">
        <v>4</v>
      </c>
      <c r="E79" s="8" t="n">
        <v>3</v>
      </c>
    </row>
    <row r="80" customFormat="false" ht="15" hidden="false" customHeight="false" outlineLevel="0" collapsed="false">
      <c r="A80" s="5" t="s">
        <v>72</v>
      </c>
      <c r="B80" s="5" t="s">
        <v>94</v>
      </c>
      <c r="C80" s="5" t="s">
        <v>23</v>
      </c>
      <c r="D80" s="5" t="n">
        <v>3</v>
      </c>
      <c r="E80" s="5" t="n">
        <v>2</v>
      </c>
    </row>
    <row r="81" customFormat="false" ht="15" hidden="false" customHeight="false" outlineLevel="0" collapsed="false">
      <c r="A81" s="8" t="s">
        <v>73</v>
      </c>
      <c r="B81" s="8" t="s">
        <v>94</v>
      </c>
      <c r="C81" s="8" t="s">
        <v>23</v>
      </c>
      <c r="D81" s="8" t="n">
        <v>4</v>
      </c>
      <c r="E81" s="8" t="n">
        <v>3</v>
      </c>
    </row>
    <row r="82" customFormat="false" ht="15" hidden="false" customHeight="false" outlineLevel="0" collapsed="false">
      <c r="A82" s="5" t="s">
        <v>74</v>
      </c>
      <c r="B82" s="5" t="s">
        <v>94</v>
      </c>
      <c r="C82" s="5" t="s">
        <v>23</v>
      </c>
      <c r="D82" s="5" t="n">
        <v>1</v>
      </c>
      <c r="E82" s="5" t="n">
        <v>1</v>
      </c>
    </row>
    <row r="83" customFormat="false" ht="15" hidden="false" customHeight="false" outlineLevel="0" collapsed="false">
      <c r="A83" s="8" t="s">
        <v>75</v>
      </c>
      <c r="B83" s="8" t="s">
        <v>94</v>
      </c>
      <c r="C83" s="8" t="s">
        <v>23</v>
      </c>
      <c r="D83" s="8" t="n">
        <v>0</v>
      </c>
      <c r="E83" s="8" t="n">
        <v>1</v>
      </c>
    </row>
    <row r="84" customFormat="false" ht="15" hidden="false" customHeight="false" outlineLevel="0" collapsed="false">
      <c r="A84" s="5" t="s">
        <v>76</v>
      </c>
      <c r="B84" s="5" t="s">
        <v>94</v>
      </c>
      <c r="C84" s="5" t="s">
        <v>23</v>
      </c>
      <c r="D84" s="5" t="n">
        <v>3</v>
      </c>
      <c r="E84" s="5" t="n">
        <v>2</v>
      </c>
    </row>
    <row r="85" customFormat="false" ht="15" hidden="false" customHeight="false" outlineLevel="0" collapsed="false">
      <c r="A85" s="8" t="s">
        <v>77</v>
      </c>
      <c r="B85" s="8" t="s">
        <v>94</v>
      </c>
      <c r="C85" s="8" t="s">
        <v>23</v>
      </c>
      <c r="D85" s="8" t="s">
        <v>70</v>
      </c>
      <c r="E85" s="8"/>
    </row>
    <row r="86" customFormat="false" ht="15" hidden="false" customHeight="false" outlineLevel="0" collapsed="false">
      <c r="A86" s="5" t="s">
        <v>78</v>
      </c>
      <c r="B86" s="5" t="s">
        <v>94</v>
      </c>
      <c r="C86" s="5" t="s">
        <v>23</v>
      </c>
      <c r="D86" s="5" t="n">
        <v>2</v>
      </c>
      <c r="E86" s="5" t="n">
        <v>2</v>
      </c>
    </row>
    <row r="87" customFormat="false" ht="15" hidden="false" customHeight="false" outlineLevel="0" collapsed="false">
      <c r="A87" s="8" t="s">
        <v>79</v>
      </c>
      <c r="B87" s="8" t="s">
        <v>94</v>
      </c>
      <c r="C87" s="8" t="s">
        <v>23</v>
      </c>
      <c r="D87" s="8" t="n">
        <v>4</v>
      </c>
      <c r="E87" s="8" t="n">
        <v>3</v>
      </c>
    </row>
    <row r="88" customFormat="false" ht="15" hidden="false" customHeight="false" outlineLevel="0" collapsed="false">
      <c r="A88" s="5" t="s">
        <v>80</v>
      </c>
      <c r="B88" s="5" t="s">
        <v>94</v>
      </c>
      <c r="C88" s="5" t="s">
        <v>23</v>
      </c>
      <c r="D88" s="5" t="n">
        <v>1</v>
      </c>
      <c r="E88" s="5" t="n">
        <v>1</v>
      </c>
    </row>
    <row r="89" customFormat="false" ht="15" hidden="false" customHeight="false" outlineLevel="0" collapsed="false">
      <c r="A89" s="8" t="s">
        <v>81</v>
      </c>
      <c r="B89" s="8" t="s">
        <v>94</v>
      </c>
      <c r="C89" s="8" t="s">
        <v>23</v>
      </c>
      <c r="D89" s="8" t="n">
        <v>3</v>
      </c>
      <c r="E89" s="8" t="n">
        <v>2</v>
      </c>
    </row>
    <row r="90" customFormat="false" ht="15" hidden="false" customHeight="false" outlineLevel="0" collapsed="false">
      <c r="A90" s="5" t="s">
        <v>82</v>
      </c>
      <c r="B90" s="5" t="s">
        <v>94</v>
      </c>
      <c r="C90" s="5" t="s">
        <v>23</v>
      </c>
      <c r="D90" s="5" t="n">
        <v>1</v>
      </c>
      <c r="E90" s="5" t="n">
        <v>1</v>
      </c>
    </row>
    <row r="91" customFormat="false" ht="15" hidden="false" customHeight="false" outlineLevel="0" collapsed="false">
      <c r="A91" s="8" t="s">
        <v>83</v>
      </c>
      <c r="B91" s="8" t="s">
        <v>94</v>
      </c>
      <c r="C91" s="8" t="s">
        <v>23</v>
      </c>
      <c r="D91" s="8" t="n">
        <v>4</v>
      </c>
      <c r="E91" s="8" t="n">
        <v>3</v>
      </c>
    </row>
    <row r="92" customFormat="false" ht="15" hidden="false" customHeight="false" outlineLevel="0" collapsed="false">
      <c r="A92" s="5" t="s">
        <v>84</v>
      </c>
      <c r="B92" s="5" t="s">
        <v>94</v>
      </c>
      <c r="C92" s="5" t="s">
        <v>23</v>
      </c>
      <c r="D92" s="5" t="s">
        <v>70</v>
      </c>
      <c r="E92" s="5"/>
    </row>
    <row r="93" customFormat="false" ht="15" hidden="false" customHeight="false" outlineLevel="0" collapsed="false">
      <c r="A93" s="8" t="s">
        <v>85</v>
      </c>
      <c r="B93" s="8" t="s">
        <v>94</v>
      </c>
      <c r="C93" s="8" t="s">
        <v>23</v>
      </c>
      <c r="D93" s="8" t="n">
        <v>5</v>
      </c>
      <c r="E93" s="8" t="n">
        <v>4</v>
      </c>
    </row>
    <row r="94" customFormat="false" ht="15" hidden="false" customHeight="false" outlineLevel="0" collapsed="false">
      <c r="A94" s="5" t="s">
        <v>86</v>
      </c>
      <c r="B94" s="5" t="s">
        <v>94</v>
      </c>
      <c r="C94" s="5" t="s">
        <v>23</v>
      </c>
      <c r="D94" s="5" t="n">
        <v>2</v>
      </c>
      <c r="E94" s="5" t="n">
        <v>2</v>
      </c>
    </row>
    <row r="95" customFormat="false" ht="15" hidden="false" customHeight="false" outlineLevel="0" collapsed="false">
      <c r="A95" s="8" t="s">
        <v>87</v>
      </c>
      <c r="B95" s="8" t="s">
        <v>94</v>
      </c>
      <c r="C95" s="8" t="s">
        <v>23</v>
      </c>
      <c r="D95" s="8" t="n">
        <v>0</v>
      </c>
      <c r="E95" s="8" t="n">
        <v>1</v>
      </c>
    </row>
    <row r="96" customFormat="false" ht="15" hidden="false" customHeight="false" outlineLevel="0" collapsed="false">
      <c r="A96" s="5" t="s">
        <v>88</v>
      </c>
      <c r="B96" s="5" t="s">
        <v>94</v>
      </c>
      <c r="C96" s="5" t="s">
        <v>23</v>
      </c>
      <c r="D96" s="5" t="n">
        <v>5</v>
      </c>
      <c r="E96" s="5" t="n">
        <v>4</v>
      </c>
    </row>
    <row r="97" customFormat="false" ht="15" hidden="false" customHeight="false" outlineLevel="0" collapsed="false">
      <c r="A97" s="8" t="s">
        <v>89</v>
      </c>
      <c r="B97" s="8" t="s">
        <v>94</v>
      </c>
      <c r="C97" s="8" t="s">
        <v>23</v>
      </c>
      <c r="D97" s="8" t="n">
        <v>4</v>
      </c>
      <c r="E97" s="8" t="n">
        <v>3</v>
      </c>
    </row>
    <row r="98" customFormat="false" ht="15" hidden="false" customHeight="false" outlineLevel="0" collapsed="false">
      <c r="A98" s="5" t="s">
        <v>90</v>
      </c>
      <c r="B98" s="5" t="s">
        <v>94</v>
      </c>
      <c r="C98" s="5" t="s">
        <v>23</v>
      </c>
      <c r="D98" s="5" t="n">
        <v>0</v>
      </c>
      <c r="E98" s="5" t="n">
        <v>1</v>
      </c>
    </row>
    <row r="99" customFormat="false" ht="15" hidden="false" customHeight="false" outlineLevel="0" collapsed="false">
      <c r="A99" s="8" t="s">
        <v>91</v>
      </c>
      <c r="B99" s="8" t="s">
        <v>94</v>
      </c>
      <c r="C99" s="8" t="s">
        <v>23</v>
      </c>
      <c r="D99" s="8" t="n">
        <v>1</v>
      </c>
      <c r="E99" s="8" t="n">
        <v>1</v>
      </c>
    </row>
    <row r="100" customFormat="false" ht="15" hidden="false" customHeight="false" outlineLevel="0" collapsed="false">
      <c r="A100" s="5" t="s">
        <v>92</v>
      </c>
      <c r="B100" s="5" t="s">
        <v>94</v>
      </c>
      <c r="C100" s="5" t="s">
        <v>23</v>
      </c>
      <c r="D100" s="5" t="n">
        <v>2</v>
      </c>
      <c r="E100" s="5" t="n">
        <v>2</v>
      </c>
    </row>
    <row r="101" customFormat="false" ht="15" hidden="false" customHeight="false" outlineLevel="0" collapsed="false">
      <c r="A101" s="8" t="s">
        <v>93</v>
      </c>
      <c r="B101" s="8" t="s">
        <v>94</v>
      </c>
      <c r="C101" s="8" t="s">
        <v>23</v>
      </c>
      <c r="D101" s="8" t="n">
        <v>2</v>
      </c>
      <c r="E101" s="8" t="n">
        <v>2</v>
      </c>
    </row>
    <row r="102" customFormat="false" ht="15" hidden="false" customHeight="false" outlineLevel="0" collapsed="false">
      <c r="A102" s="5" t="s">
        <v>67</v>
      </c>
      <c r="B102" s="5" t="s">
        <v>68</v>
      </c>
      <c r="C102" s="5" t="s">
        <v>25</v>
      </c>
      <c r="D102" s="5" t="n">
        <v>4</v>
      </c>
      <c r="E102" s="5" t="n">
        <v>3</v>
      </c>
    </row>
    <row r="103" customFormat="false" ht="15" hidden="false" customHeight="false" outlineLevel="0" collapsed="false">
      <c r="A103" s="8" t="s">
        <v>69</v>
      </c>
      <c r="B103" s="8" t="s">
        <v>68</v>
      </c>
      <c r="C103" s="8" t="s">
        <v>25</v>
      </c>
      <c r="D103" s="8" t="n">
        <v>3</v>
      </c>
      <c r="E103" s="8" t="n">
        <v>2</v>
      </c>
    </row>
    <row r="104" customFormat="false" ht="15" hidden="false" customHeight="false" outlineLevel="0" collapsed="false">
      <c r="A104" s="5" t="s">
        <v>71</v>
      </c>
      <c r="B104" s="5" t="s">
        <v>68</v>
      </c>
      <c r="C104" s="5" t="s">
        <v>25</v>
      </c>
      <c r="D104" s="5" t="n">
        <v>5</v>
      </c>
      <c r="E104" s="5" t="n">
        <v>4</v>
      </c>
    </row>
    <row r="105" customFormat="false" ht="15" hidden="false" customHeight="false" outlineLevel="0" collapsed="false">
      <c r="A105" s="8" t="s">
        <v>72</v>
      </c>
      <c r="B105" s="8" t="s">
        <v>68</v>
      </c>
      <c r="C105" s="8" t="s">
        <v>25</v>
      </c>
      <c r="D105" s="8" t="n">
        <v>3</v>
      </c>
      <c r="E105" s="8" t="n">
        <v>2</v>
      </c>
    </row>
    <row r="106" customFormat="false" ht="15" hidden="false" customHeight="false" outlineLevel="0" collapsed="false">
      <c r="A106" s="5" t="s">
        <v>73</v>
      </c>
      <c r="B106" s="5" t="s">
        <v>68</v>
      </c>
      <c r="C106" s="5" t="s">
        <v>25</v>
      </c>
      <c r="D106" s="5" t="n">
        <v>4</v>
      </c>
      <c r="E106" s="5" t="n">
        <v>3</v>
      </c>
    </row>
    <row r="107" customFormat="false" ht="15" hidden="false" customHeight="false" outlineLevel="0" collapsed="false">
      <c r="A107" s="8" t="s">
        <v>74</v>
      </c>
      <c r="B107" s="8" t="s">
        <v>68</v>
      </c>
      <c r="C107" s="8" t="s">
        <v>25</v>
      </c>
      <c r="D107" s="8" t="n">
        <v>3</v>
      </c>
      <c r="E107" s="8" t="n">
        <v>2</v>
      </c>
    </row>
    <row r="108" customFormat="false" ht="15" hidden="false" customHeight="false" outlineLevel="0" collapsed="false">
      <c r="A108" s="5" t="s">
        <v>75</v>
      </c>
      <c r="B108" s="5" t="s">
        <v>68</v>
      </c>
      <c r="C108" s="5" t="s">
        <v>25</v>
      </c>
      <c r="D108" s="5" t="n">
        <v>4</v>
      </c>
      <c r="E108" s="5" t="n">
        <v>3</v>
      </c>
    </row>
    <row r="109" customFormat="false" ht="15" hidden="false" customHeight="false" outlineLevel="0" collapsed="false">
      <c r="A109" s="8" t="s">
        <v>76</v>
      </c>
      <c r="B109" s="8" t="s">
        <v>68</v>
      </c>
      <c r="C109" s="8" t="s">
        <v>25</v>
      </c>
      <c r="D109" s="8" t="n">
        <v>3</v>
      </c>
      <c r="E109" s="8" t="n">
        <v>2</v>
      </c>
    </row>
    <row r="110" customFormat="false" ht="15" hidden="false" customHeight="false" outlineLevel="0" collapsed="false">
      <c r="A110" s="5" t="s">
        <v>77</v>
      </c>
      <c r="B110" s="5" t="s">
        <v>68</v>
      </c>
      <c r="C110" s="5" t="s">
        <v>25</v>
      </c>
      <c r="D110" s="5" t="n">
        <v>4</v>
      </c>
      <c r="E110" s="5" t="n">
        <v>3</v>
      </c>
    </row>
    <row r="111" customFormat="false" ht="15" hidden="false" customHeight="false" outlineLevel="0" collapsed="false">
      <c r="A111" s="8" t="s">
        <v>78</v>
      </c>
      <c r="B111" s="8" t="s">
        <v>68</v>
      </c>
      <c r="C111" s="8" t="s">
        <v>25</v>
      </c>
      <c r="D111" s="8" t="n">
        <v>4</v>
      </c>
      <c r="E111" s="8" t="n">
        <v>3</v>
      </c>
    </row>
    <row r="112" customFormat="false" ht="15" hidden="false" customHeight="false" outlineLevel="0" collapsed="false">
      <c r="A112" s="5" t="s">
        <v>79</v>
      </c>
      <c r="B112" s="5" t="s">
        <v>68</v>
      </c>
      <c r="C112" s="5" t="s">
        <v>25</v>
      </c>
      <c r="D112" s="5" t="n">
        <v>3</v>
      </c>
      <c r="E112" s="5" t="n">
        <v>2</v>
      </c>
    </row>
    <row r="113" customFormat="false" ht="15" hidden="false" customHeight="false" outlineLevel="0" collapsed="false">
      <c r="A113" s="8" t="s">
        <v>80</v>
      </c>
      <c r="B113" s="8" t="s">
        <v>68</v>
      </c>
      <c r="C113" s="8" t="s">
        <v>25</v>
      </c>
      <c r="D113" s="8" t="n">
        <v>3</v>
      </c>
      <c r="E113" s="8" t="n">
        <v>2</v>
      </c>
    </row>
    <row r="114" customFormat="false" ht="15" hidden="false" customHeight="false" outlineLevel="0" collapsed="false">
      <c r="A114" s="5" t="s">
        <v>81</v>
      </c>
      <c r="B114" s="5" t="s">
        <v>68</v>
      </c>
      <c r="C114" s="5" t="s">
        <v>25</v>
      </c>
      <c r="D114" s="5" t="n">
        <v>3</v>
      </c>
      <c r="E114" s="5" t="n">
        <v>2</v>
      </c>
    </row>
    <row r="115" customFormat="false" ht="15" hidden="false" customHeight="false" outlineLevel="0" collapsed="false">
      <c r="A115" s="8" t="s">
        <v>82</v>
      </c>
      <c r="B115" s="8" t="s">
        <v>68</v>
      </c>
      <c r="C115" s="8" t="s">
        <v>25</v>
      </c>
      <c r="D115" s="8" t="n">
        <v>5</v>
      </c>
      <c r="E115" s="8" t="n">
        <v>4</v>
      </c>
    </row>
    <row r="116" customFormat="false" ht="15" hidden="false" customHeight="false" outlineLevel="0" collapsed="false">
      <c r="A116" s="5" t="s">
        <v>83</v>
      </c>
      <c r="B116" s="5" t="s">
        <v>68</v>
      </c>
      <c r="C116" s="5" t="s">
        <v>25</v>
      </c>
      <c r="D116" s="5" t="s">
        <v>70</v>
      </c>
      <c r="E116" s="5"/>
    </row>
    <row r="117" customFormat="false" ht="15" hidden="false" customHeight="false" outlineLevel="0" collapsed="false">
      <c r="A117" s="8" t="s">
        <v>84</v>
      </c>
      <c r="B117" s="8" t="s">
        <v>68</v>
      </c>
      <c r="C117" s="8" t="s">
        <v>25</v>
      </c>
      <c r="D117" s="8" t="n">
        <v>3</v>
      </c>
      <c r="E117" s="8" t="n">
        <v>2</v>
      </c>
    </row>
    <row r="118" customFormat="false" ht="15" hidden="false" customHeight="false" outlineLevel="0" collapsed="false">
      <c r="A118" s="5" t="s">
        <v>85</v>
      </c>
      <c r="B118" s="5" t="s">
        <v>68</v>
      </c>
      <c r="C118" s="5" t="s">
        <v>25</v>
      </c>
      <c r="D118" s="5" t="n">
        <v>3</v>
      </c>
      <c r="E118" s="5" t="n">
        <v>2</v>
      </c>
    </row>
    <row r="119" customFormat="false" ht="15" hidden="false" customHeight="false" outlineLevel="0" collapsed="false">
      <c r="A119" s="8" t="s">
        <v>86</v>
      </c>
      <c r="B119" s="8" t="s">
        <v>68</v>
      </c>
      <c r="C119" s="8" t="s">
        <v>25</v>
      </c>
      <c r="D119" s="8" t="n">
        <v>1</v>
      </c>
      <c r="E119" s="8" t="n">
        <v>1</v>
      </c>
    </row>
    <row r="120" customFormat="false" ht="15" hidden="false" customHeight="false" outlineLevel="0" collapsed="false">
      <c r="A120" s="5" t="s">
        <v>87</v>
      </c>
      <c r="B120" s="5" t="s">
        <v>68</v>
      </c>
      <c r="C120" s="5" t="s">
        <v>25</v>
      </c>
      <c r="D120" s="5" t="n">
        <v>4</v>
      </c>
      <c r="E120" s="5" t="n">
        <v>3</v>
      </c>
    </row>
    <row r="121" customFormat="false" ht="15" hidden="false" customHeight="false" outlineLevel="0" collapsed="false">
      <c r="A121" s="8" t="s">
        <v>88</v>
      </c>
      <c r="B121" s="8" t="s">
        <v>68</v>
      </c>
      <c r="C121" s="8" t="s">
        <v>25</v>
      </c>
      <c r="D121" s="8" t="n">
        <v>3</v>
      </c>
      <c r="E121" s="8" t="n">
        <v>2</v>
      </c>
    </row>
    <row r="122" customFormat="false" ht="15" hidden="false" customHeight="false" outlineLevel="0" collapsed="false">
      <c r="A122" s="5" t="s">
        <v>89</v>
      </c>
      <c r="B122" s="5" t="s">
        <v>68</v>
      </c>
      <c r="C122" s="5" t="s">
        <v>25</v>
      </c>
      <c r="D122" s="5" t="n">
        <v>3</v>
      </c>
      <c r="E122" s="5" t="n">
        <v>2</v>
      </c>
    </row>
    <row r="123" customFormat="false" ht="15" hidden="false" customHeight="false" outlineLevel="0" collapsed="false">
      <c r="A123" s="8" t="s">
        <v>90</v>
      </c>
      <c r="B123" s="8" t="s">
        <v>68</v>
      </c>
      <c r="C123" s="8" t="s">
        <v>25</v>
      </c>
      <c r="D123" s="8" t="n">
        <v>4</v>
      </c>
      <c r="E123" s="8" t="n">
        <v>3</v>
      </c>
    </row>
    <row r="124" customFormat="false" ht="15" hidden="false" customHeight="false" outlineLevel="0" collapsed="false">
      <c r="A124" s="5" t="s">
        <v>91</v>
      </c>
      <c r="B124" s="5" t="s">
        <v>68</v>
      </c>
      <c r="C124" s="5" t="s">
        <v>25</v>
      </c>
      <c r="D124" s="5" t="n">
        <v>4</v>
      </c>
      <c r="E124" s="5" t="n">
        <v>3</v>
      </c>
    </row>
    <row r="125" customFormat="false" ht="15" hidden="false" customHeight="false" outlineLevel="0" collapsed="false">
      <c r="A125" s="8" t="s">
        <v>92</v>
      </c>
      <c r="B125" s="8" t="s">
        <v>68</v>
      </c>
      <c r="C125" s="8" t="s">
        <v>25</v>
      </c>
      <c r="D125" s="8" t="n">
        <v>1</v>
      </c>
      <c r="E125" s="8" t="n">
        <v>1</v>
      </c>
    </row>
    <row r="126" customFormat="false" ht="15" hidden="false" customHeight="false" outlineLevel="0" collapsed="false">
      <c r="A126" s="5" t="s">
        <v>93</v>
      </c>
      <c r="B126" s="5" t="s">
        <v>68</v>
      </c>
      <c r="C126" s="5" t="s">
        <v>25</v>
      </c>
      <c r="D126" s="5" t="n">
        <v>3</v>
      </c>
      <c r="E126" s="5" t="n">
        <v>2</v>
      </c>
    </row>
    <row r="127" customFormat="false" ht="15" hidden="false" customHeight="false" outlineLevel="0" collapsed="false">
      <c r="A127" s="8" t="s">
        <v>67</v>
      </c>
      <c r="B127" s="8" t="s">
        <v>94</v>
      </c>
      <c r="C127" s="8" t="s">
        <v>25</v>
      </c>
      <c r="D127" s="8" t="n">
        <v>5</v>
      </c>
      <c r="E127" s="8" t="n">
        <v>4</v>
      </c>
    </row>
    <row r="128" customFormat="false" ht="15" hidden="false" customHeight="false" outlineLevel="0" collapsed="false">
      <c r="A128" s="5" t="s">
        <v>69</v>
      </c>
      <c r="B128" s="5" t="s">
        <v>94</v>
      </c>
      <c r="C128" s="5" t="s">
        <v>25</v>
      </c>
      <c r="D128" s="5" t="n">
        <v>3</v>
      </c>
      <c r="E128" s="5" t="n">
        <v>2</v>
      </c>
    </row>
    <row r="129" customFormat="false" ht="15" hidden="false" customHeight="false" outlineLevel="0" collapsed="false">
      <c r="A129" s="8" t="s">
        <v>71</v>
      </c>
      <c r="B129" s="8" t="s">
        <v>94</v>
      </c>
      <c r="C129" s="8" t="s">
        <v>25</v>
      </c>
      <c r="D129" s="8" t="n">
        <v>5</v>
      </c>
      <c r="E129" s="8" t="n">
        <v>4</v>
      </c>
    </row>
    <row r="130" customFormat="false" ht="15" hidden="false" customHeight="false" outlineLevel="0" collapsed="false">
      <c r="A130" s="5" t="s">
        <v>72</v>
      </c>
      <c r="B130" s="5" t="s">
        <v>94</v>
      </c>
      <c r="C130" s="5" t="s">
        <v>25</v>
      </c>
      <c r="D130" s="5" t="n">
        <v>3</v>
      </c>
      <c r="E130" s="5" t="n">
        <v>2</v>
      </c>
    </row>
    <row r="131" customFormat="false" ht="15" hidden="false" customHeight="false" outlineLevel="0" collapsed="false">
      <c r="A131" s="8" t="s">
        <v>73</v>
      </c>
      <c r="B131" s="8" t="s">
        <v>94</v>
      </c>
      <c r="C131" s="8" t="s">
        <v>25</v>
      </c>
      <c r="D131" s="8" t="n">
        <v>5</v>
      </c>
      <c r="E131" s="8" t="n">
        <v>4</v>
      </c>
    </row>
    <row r="132" customFormat="false" ht="15" hidden="false" customHeight="false" outlineLevel="0" collapsed="false">
      <c r="A132" s="5" t="s">
        <v>74</v>
      </c>
      <c r="B132" s="5" t="s">
        <v>94</v>
      </c>
      <c r="C132" s="5" t="s">
        <v>25</v>
      </c>
      <c r="D132" s="5" t="n">
        <v>3</v>
      </c>
      <c r="E132" s="5" t="n">
        <v>2</v>
      </c>
    </row>
    <row r="133" customFormat="false" ht="15" hidden="false" customHeight="false" outlineLevel="0" collapsed="false">
      <c r="A133" s="8" t="s">
        <v>75</v>
      </c>
      <c r="B133" s="8" t="s">
        <v>94</v>
      </c>
      <c r="C133" s="8" t="s">
        <v>25</v>
      </c>
      <c r="D133" s="8" t="n">
        <v>3</v>
      </c>
      <c r="E133" s="8" t="n">
        <v>2</v>
      </c>
    </row>
    <row r="134" customFormat="false" ht="15" hidden="false" customHeight="false" outlineLevel="0" collapsed="false">
      <c r="A134" s="5" t="s">
        <v>76</v>
      </c>
      <c r="B134" s="5" t="s">
        <v>94</v>
      </c>
      <c r="C134" s="5" t="s">
        <v>25</v>
      </c>
      <c r="D134" s="5" t="s">
        <v>70</v>
      </c>
      <c r="E134" s="5"/>
    </row>
    <row r="135" customFormat="false" ht="15" hidden="false" customHeight="false" outlineLevel="0" collapsed="false">
      <c r="A135" s="8" t="s">
        <v>77</v>
      </c>
      <c r="B135" s="8" t="s">
        <v>94</v>
      </c>
      <c r="C135" s="8" t="s">
        <v>25</v>
      </c>
      <c r="D135" s="8" t="n">
        <v>2</v>
      </c>
      <c r="E135" s="8" t="n">
        <v>2</v>
      </c>
    </row>
    <row r="136" customFormat="false" ht="15" hidden="false" customHeight="false" outlineLevel="0" collapsed="false">
      <c r="A136" s="5" t="s">
        <v>78</v>
      </c>
      <c r="B136" s="5" t="s">
        <v>94</v>
      </c>
      <c r="C136" s="5" t="s">
        <v>25</v>
      </c>
      <c r="D136" s="5" t="n">
        <v>3</v>
      </c>
      <c r="E136" s="5" t="n">
        <v>2</v>
      </c>
    </row>
    <row r="137" customFormat="false" ht="15" hidden="false" customHeight="false" outlineLevel="0" collapsed="false">
      <c r="A137" s="8" t="s">
        <v>79</v>
      </c>
      <c r="B137" s="8" t="s">
        <v>94</v>
      </c>
      <c r="C137" s="8" t="s">
        <v>25</v>
      </c>
      <c r="D137" s="8" t="n">
        <v>1</v>
      </c>
      <c r="E137" s="8" t="n">
        <v>1</v>
      </c>
    </row>
    <row r="138" customFormat="false" ht="15" hidden="false" customHeight="false" outlineLevel="0" collapsed="false">
      <c r="A138" s="5" t="s">
        <v>80</v>
      </c>
      <c r="B138" s="5" t="s">
        <v>94</v>
      </c>
      <c r="C138" s="5" t="s">
        <v>25</v>
      </c>
      <c r="D138" s="5" t="n">
        <v>3</v>
      </c>
      <c r="E138" s="5" t="n">
        <v>2</v>
      </c>
    </row>
    <row r="139" customFormat="false" ht="15" hidden="false" customHeight="false" outlineLevel="0" collapsed="false">
      <c r="A139" s="8" t="s">
        <v>81</v>
      </c>
      <c r="B139" s="8" t="s">
        <v>94</v>
      </c>
      <c r="C139" s="8" t="s">
        <v>25</v>
      </c>
      <c r="D139" s="8" t="n">
        <v>4</v>
      </c>
      <c r="E139" s="8" t="n">
        <v>3</v>
      </c>
    </row>
    <row r="140" customFormat="false" ht="15" hidden="false" customHeight="false" outlineLevel="0" collapsed="false">
      <c r="A140" s="5" t="s">
        <v>82</v>
      </c>
      <c r="B140" s="5" t="s">
        <v>94</v>
      </c>
      <c r="C140" s="5" t="s">
        <v>25</v>
      </c>
      <c r="D140" s="5" t="n">
        <v>2</v>
      </c>
      <c r="E140" s="5" t="n">
        <v>2</v>
      </c>
    </row>
    <row r="141" customFormat="false" ht="15" hidden="false" customHeight="false" outlineLevel="0" collapsed="false">
      <c r="A141" s="8" t="s">
        <v>83</v>
      </c>
      <c r="B141" s="8" t="s">
        <v>94</v>
      </c>
      <c r="C141" s="8" t="s">
        <v>25</v>
      </c>
      <c r="D141" s="8" t="n">
        <v>5</v>
      </c>
      <c r="E141" s="8" t="n">
        <v>4</v>
      </c>
    </row>
    <row r="142" customFormat="false" ht="15" hidden="false" customHeight="false" outlineLevel="0" collapsed="false">
      <c r="A142" s="5" t="s">
        <v>84</v>
      </c>
      <c r="B142" s="5" t="s">
        <v>94</v>
      </c>
      <c r="C142" s="5" t="s">
        <v>25</v>
      </c>
      <c r="D142" s="5" t="n">
        <v>0</v>
      </c>
      <c r="E142" s="5" t="n">
        <v>1</v>
      </c>
    </row>
    <row r="143" customFormat="false" ht="15" hidden="false" customHeight="false" outlineLevel="0" collapsed="false">
      <c r="A143" s="8" t="s">
        <v>85</v>
      </c>
      <c r="B143" s="8" t="s">
        <v>94</v>
      </c>
      <c r="C143" s="8" t="s">
        <v>25</v>
      </c>
      <c r="D143" s="8" t="n">
        <v>3</v>
      </c>
      <c r="E143" s="8" t="n">
        <v>2</v>
      </c>
    </row>
    <row r="144" customFormat="false" ht="15" hidden="false" customHeight="false" outlineLevel="0" collapsed="false">
      <c r="A144" s="5" t="s">
        <v>86</v>
      </c>
      <c r="B144" s="5" t="s">
        <v>94</v>
      </c>
      <c r="C144" s="5" t="s">
        <v>25</v>
      </c>
      <c r="D144" s="5" t="n">
        <v>4</v>
      </c>
      <c r="E144" s="5" t="n">
        <v>3</v>
      </c>
    </row>
    <row r="145" customFormat="false" ht="15" hidden="false" customHeight="false" outlineLevel="0" collapsed="false">
      <c r="A145" s="8" t="s">
        <v>87</v>
      </c>
      <c r="B145" s="8" t="s">
        <v>94</v>
      </c>
      <c r="C145" s="8" t="s">
        <v>25</v>
      </c>
      <c r="D145" s="8" t="n">
        <v>1</v>
      </c>
      <c r="E145" s="8" t="n">
        <v>1</v>
      </c>
    </row>
    <row r="146" customFormat="false" ht="15" hidden="false" customHeight="false" outlineLevel="0" collapsed="false">
      <c r="A146" s="5" t="s">
        <v>88</v>
      </c>
      <c r="B146" s="5" t="s">
        <v>94</v>
      </c>
      <c r="C146" s="5" t="s">
        <v>25</v>
      </c>
      <c r="D146" s="5" t="n">
        <v>2</v>
      </c>
      <c r="E146" s="5" t="n">
        <v>2</v>
      </c>
    </row>
    <row r="147" customFormat="false" ht="15" hidden="false" customHeight="false" outlineLevel="0" collapsed="false">
      <c r="A147" s="8" t="s">
        <v>89</v>
      </c>
      <c r="B147" s="8" t="s">
        <v>94</v>
      </c>
      <c r="C147" s="8" t="s">
        <v>25</v>
      </c>
      <c r="D147" s="8" t="n">
        <v>4</v>
      </c>
      <c r="E147" s="8" t="n">
        <v>3</v>
      </c>
    </row>
    <row r="148" customFormat="false" ht="15" hidden="false" customHeight="false" outlineLevel="0" collapsed="false">
      <c r="A148" s="5" t="s">
        <v>90</v>
      </c>
      <c r="B148" s="5" t="s">
        <v>94</v>
      </c>
      <c r="C148" s="5" t="s">
        <v>25</v>
      </c>
      <c r="D148" s="5" t="n">
        <v>1</v>
      </c>
      <c r="E148" s="5" t="n">
        <v>1</v>
      </c>
    </row>
    <row r="149" customFormat="false" ht="15" hidden="false" customHeight="false" outlineLevel="0" collapsed="false">
      <c r="A149" s="8" t="s">
        <v>91</v>
      </c>
      <c r="B149" s="8" t="s">
        <v>94</v>
      </c>
      <c r="C149" s="8" t="s">
        <v>25</v>
      </c>
      <c r="D149" s="8" t="n">
        <v>2</v>
      </c>
      <c r="E149" s="8" t="n">
        <v>2</v>
      </c>
    </row>
    <row r="150" customFormat="false" ht="15" hidden="false" customHeight="false" outlineLevel="0" collapsed="false">
      <c r="A150" s="5" t="s">
        <v>92</v>
      </c>
      <c r="B150" s="5" t="s">
        <v>94</v>
      </c>
      <c r="C150" s="5" t="s">
        <v>25</v>
      </c>
      <c r="D150" s="5" t="n">
        <v>4</v>
      </c>
      <c r="E150" s="5" t="n">
        <v>3</v>
      </c>
    </row>
    <row r="151" customFormat="false" ht="15" hidden="false" customHeight="false" outlineLevel="0" collapsed="false">
      <c r="A151" s="8" t="s">
        <v>93</v>
      </c>
      <c r="B151" s="8" t="s">
        <v>94</v>
      </c>
      <c r="C151" s="8" t="s">
        <v>25</v>
      </c>
      <c r="D151" s="8" t="n">
        <v>4</v>
      </c>
      <c r="E151" s="8" t="n">
        <v>3</v>
      </c>
    </row>
    <row r="152" customFormat="false" ht="15" hidden="false" customHeight="false" outlineLevel="0" collapsed="false">
      <c r="A152" s="5" t="s">
        <v>67</v>
      </c>
      <c r="B152" s="5" t="s">
        <v>68</v>
      </c>
      <c r="C152" s="5" t="s">
        <v>27</v>
      </c>
      <c r="D152" s="5" t="n">
        <v>3</v>
      </c>
      <c r="E152" s="5" t="n">
        <v>2</v>
      </c>
    </row>
    <row r="153" customFormat="false" ht="15" hidden="false" customHeight="false" outlineLevel="0" collapsed="false">
      <c r="A153" s="8" t="s">
        <v>69</v>
      </c>
      <c r="B153" s="8" t="s">
        <v>68</v>
      </c>
      <c r="C153" s="8" t="s">
        <v>27</v>
      </c>
      <c r="D153" s="8" t="n">
        <v>3</v>
      </c>
      <c r="E153" s="8" t="n">
        <v>2</v>
      </c>
    </row>
    <row r="154" customFormat="false" ht="15" hidden="false" customHeight="false" outlineLevel="0" collapsed="false">
      <c r="A154" s="5" t="s">
        <v>71</v>
      </c>
      <c r="B154" s="5" t="s">
        <v>68</v>
      </c>
      <c r="C154" s="5" t="s">
        <v>27</v>
      </c>
      <c r="D154" s="5" t="n">
        <v>3</v>
      </c>
      <c r="E154" s="5" t="n">
        <v>2</v>
      </c>
    </row>
    <row r="155" customFormat="false" ht="15" hidden="false" customHeight="false" outlineLevel="0" collapsed="false">
      <c r="A155" s="8" t="s">
        <v>72</v>
      </c>
      <c r="B155" s="8" t="s">
        <v>68</v>
      </c>
      <c r="C155" s="8" t="s">
        <v>27</v>
      </c>
      <c r="D155" s="8" t="n">
        <v>2</v>
      </c>
      <c r="E155" s="8" t="n">
        <v>2</v>
      </c>
    </row>
    <row r="156" customFormat="false" ht="15" hidden="false" customHeight="false" outlineLevel="0" collapsed="false">
      <c r="A156" s="5" t="s">
        <v>73</v>
      </c>
      <c r="B156" s="5" t="s">
        <v>68</v>
      </c>
      <c r="C156" s="5" t="s">
        <v>27</v>
      </c>
      <c r="D156" s="5" t="n">
        <v>1</v>
      </c>
      <c r="E156" s="5" t="n">
        <v>1</v>
      </c>
    </row>
    <row r="157" customFormat="false" ht="15" hidden="false" customHeight="false" outlineLevel="0" collapsed="false">
      <c r="A157" s="8" t="s">
        <v>74</v>
      </c>
      <c r="B157" s="8" t="s">
        <v>68</v>
      </c>
      <c r="C157" s="8" t="s">
        <v>27</v>
      </c>
      <c r="D157" s="8" t="n">
        <v>3</v>
      </c>
      <c r="E157" s="8" t="n">
        <v>2</v>
      </c>
    </row>
    <row r="158" customFormat="false" ht="15" hidden="false" customHeight="false" outlineLevel="0" collapsed="false">
      <c r="A158" s="5" t="s">
        <v>75</v>
      </c>
      <c r="B158" s="5" t="s">
        <v>68</v>
      </c>
      <c r="C158" s="5" t="s">
        <v>27</v>
      </c>
      <c r="D158" s="5" t="n">
        <v>5</v>
      </c>
      <c r="E158" s="5" t="n">
        <v>4</v>
      </c>
    </row>
    <row r="159" customFormat="false" ht="15" hidden="false" customHeight="false" outlineLevel="0" collapsed="false">
      <c r="A159" s="8" t="s">
        <v>76</v>
      </c>
      <c r="B159" s="8" t="s">
        <v>68</v>
      </c>
      <c r="C159" s="8" t="s">
        <v>27</v>
      </c>
      <c r="D159" s="8" t="n">
        <v>3</v>
      </c>
      <c r="E159" s="8" t="n">
        <v>2</v>
      </c>
    </row>
    <row r="160" customFormat="false" ht="15" hidden="false" customHeight="false" outlineLevel="0" collapsed="false">
      <c r="A160" s="5" t="s">
        <v>77</v>
      </c>
      <c r="B160" s="5" t="s">
        <v>68</v>
      </c>
      <c r="C160" s="5" t="s">
        <v>27</v>
      </c>
      <c r="D160" s="5" t="n">
        <v>3</v>
      </c>
      <c r="E160" s="5" t="n">
        <v>2</v>
      </c>
    </row>
    <row r="161" customFormat="false" ht="15" hidden="false" customHeight="false" outlineLevel="0" collapsed="false">
      <c r="A161" s="8" t="s">
        <v>78</v>
      </c>
      <c r="B161" s="8" t="s">
        <v>68</v>
      </c>
      <c r="C161" s="8" t="s">
        <v>27</v>
      </c>
      <c r="D161" s="8" t="s">
        <v>70</v>
      </c>
      <c r="E161" s="8"/>
    </row>
    <row r="162" customFormat="false" ht="15" hidden="false" customHeight="false" outlineLevel="0" collapsed="false">
      <c r="A162" s="5" t="s">
        <v>79</v>
      </c>
      <c r="B162" s="5" t="s">
        <v>68</v>
      </c>
      <c r="C162" s="5" t="s">
        <v>27</v>
      </c>
      <c r="D162" s="5" t="n">
        <v>2</v>
      </c>
      <c r="E162" s="5" t="n">
        <v>2</v>
      </c>
    </row>
    <row r="163" customFormat="false" ht="15" hidden="false" customHeight="false" outlineLevel="0" collapsed="false">
      <c r="A163" s="8" t="s">
        <v>80</v>
      </c>
      <c r="B163" s="8" t="s">
        <v>68</v>
      </c>
      <c r="C163" s="8" t="s">
        <v>27</v>
      </c>
      <c r="D163" s="8" t="n">
        <v>3</v>
      </c>
      <c r="E163" s="8" t="n">
        <v>2</v>
      </c>
    </row>
    <row r="164" customFormat="false" ht="15" hidden="false" customHeight="false" outlineLevel="0" collapsed="false">
      <c r="A164" s="5" t="s">
        <v>81</v>
      </c>
      <c r="B164" s="5" t="s">
        <v>68</v>
      </c>
      <c r="C164" s="5" t="s">
        <v>27</v>
      </c>
      <c r="D164" s="5" t="n">
        <v>1</v>
      </c>
      <c r="E164" s="5" t="n">
        <v>1</v>
      </c>
    </row>
    <row r="165" customFormat="false" ht="15" hidden="false" customHeight="false" outlineLevel="0" collapsed="false">
      <c r="A165" s="8" t="s">
        <v>82</v>
      </c>
      <c r="B165" s="8" t="s">
        <v>68</v>
      </c>
      <c r="C165" s="8" t="s">
        <v>27</v>
      </c>
      <c r="D165" s="8" t="n">
        <v>3</v>
      </c>
      <c r="E165" s="8" t="n">
        <v>2</v>
      </c>
    </row>
    <row r="166" customFormat="false" ht="15" hidden="false" customHeight="false" outlineLevel="0" collapsed="false">
      <c r="A166" s="5" t="s">
        <v>83</v>
      </c>
      <c r="B166" s="5" t="s">
        <v>68</v>
      </c>
      <c r="C166" s="5" t="s">
        <v>27</v>
      </c>
      <c r="D166" s="5" t="n">
        <v>4</v>
      </c>
      <c r="E166" s="5" t="n">
        <v>3</v>
      </c>
    </row>
    <row r="167" customFormat="false" ht="15" hidden="false" customHeight="false" outlineLevel="0" collapsed="false">
      <c r="A167" s="8" t="s">
        <v>84</v>
      </c>
      <c r="B167" s="8" t="s">
        <v>68</v>
      </c>
      <c r="C167" s="8" t="s">
        <v>27</v>
      </c>
      <c r="D167" s="8" t="n">
        <v>4</v>
      </c>
      <c r="E167" s="8" t="n">
        <v>3</v>
      </c>
    </row>
    <row r="168" customFormat="false" ht="15" hidden="false" customHeight="false" outlineLevel="0" collapsed="false">
      <c r="A168" s="5" t="s">
        <v>85</v>
      </c>
      <c r="B168" s="5" t="s">
        <v>68</v>
      </c>
      <c r="C168" s="5" t="s">
        <v>27</v>
      </c>
      <c r="D168" s="5" t="s">
        <v>70</v>
      </c>
      <c r="E168" s="5"/>
    </row>
    <row r="169" customFormat="false" ht="15" hidden="false" customHeight="false" outlineLevel="0" collapsed="false">
      <c r="A169" s="8" t="s">
        <v>86</v>
      </c>
      <c r="B169" s="8" t="s">
        <v>68</v>
      </c>
      <c r="C169" s="8" t="s">
        <v>27</v>
      </c>
      <c r="D169" s="8" t="n">
        <v>0</v>
      </c>
      <c r="E169" s="8" t="n">
        <v>1</v>
      </c>
    </row>
    <row r="170" customFormat="false" ht="15" hidden="false" customHeight="false" outlineLevel="0" collapsed="false">
      <c r="A170" s="5" t="s">
        <v>87</v>
      </c>
      <c r="B170" s="5" t="s">
        <v>68</v>
      </c>
      <c r="C170" s="5" t="s">
        <v>27</v>
      </c>
      <c r="D170" s="5" t="n">
        <v>3</v>
      </c>
      <c r="E170" s="5" t="n">
        <v>2</v>
      </c>
    </row>
    <row r="171" customFormat="false" ht="15" hidden="false" customHeight="false" outlineLevel="0" collapsed="false">
      <c r="A171" s="8" t="s">
        <v>88</v>
      </c>
      <c r="B171" s="8" t="s">
        <v>68</v>
      </c>
      <c r="C171" s="8" t="s">
        <v>27</v>
      </c>
      <c r="D171" s="8" t="n">
        <v>2</v>
      </c>
      <c r="E171" s="8" t="n">
        <v>2</v>
      </c>
    </row>
    <row r="172" customFormat="false" ht="15" hidden="false" customHeight="false" outlineLevel="0" collapsed="false">
      <c r="A172" s="5" t="s">
        <v>89</v>
      </c>
      <c r="B172" s="5" t="s">
        <v>68</v>
      </c>
      <c r="C172" s="5" t="s">
        <v>27</v>
      </c>
      <c r="D172" s="5" t="n">
        <v>4</v>
      </c>
      <c r="E172" s="5" t="n">
        <v>3</v>
      </c>
    </row>
    <row r="173" customFormat="false" ht="15" hidden="false" customHeight="false" outlineLevel="0" collapsed="false">
      <c r="A173" s="8" t="s">
        <v>90</v>
      </c>
      <c r="B173" s="8" t="s">
        <v>68</v>
      </c>
      <c r="C173" s="8" t="s">
        <v>27</v>
      </c>
      <c r="D173" s="8" t="n">
        <v>1</v>
      </c>
      <c r="E173" s="8" t="n">
        <v>1</v>
      </c>
    </row>
    <row r="174" customFormat="false" ht="15" hidden="false" customHeight="false" outlineLevel="0" collapsed="false">
      <c r="A174" s="5" t="s">
        <v>91</v>
      </c>
      <c r="B174" s="5" t="s">
        <v>68</v>
      </c>
      <c r="C174" s="5" t="s">
        <v>27</v>
      </c>
      <c r="D174" s="5" t="n">
        <v>2</v>
      </c>
      <c r="E174" s="5" t="n">
        <v>2</v>
      </c>
    </row>
    <row r="175" customFormat="false" ht="15" hidden="false" customHeight="false" outlineLevel="0" collapsed="false">
      <c r="A175" s="8" t="s">
        <v>92</v>
      </c>
      <c r="B175" s="8" t="s">
        <v>68</v>
      </c>
      <c r="C175" s="8" t="s">
        <v>27</v>
      </c>
      <c r="D175" s="8" t="n">
        <v>3</v>
      </c>
      <c r="E175" s="8" t="n">
        <v>2</v>
      </c>
    </row>
    <row r="176" customFormat="false" ht="15" hidden="false" customHeight="false" outlineLevel="0" collapsed="false">
      <c r="A176" s="5" t="s">
        <v>93</v>
      </c>
      <c r="B176" s="5" t="s">
        <v>68</v>
      </c>
      <c r="C176" s="5" t="s">
        <v>27</v>
      </c>
      <c r="D176" s="5" t="n">
        <v>3</v>
      </c>
      <c r="E176" s="5" t="n">
        <v>2</v>
      </c>
    </row>
    <row r="177" customFormat="false" ht="15" hidden="false" customHeight="false" outlineLevel="0" collapsed="false">
      <c r="A177" s="8" t="s">
        <v>67</v>
      </c>
      <c r="B177" s="8" t="s">
        <v>94</v>
      </c>
      <c r="C177" s="8" t="s">
        <v>27</v>
      </c>
      <c r="D177" s="8" t="n">
        <v>5</v>
      </c>
      <c r="E177" s="8" t="n">
        <v>4</v>
      </c>
    </row>
    <row r="178" customFormat="false" ht="15" hidden="false" customHeight="false" outlineLevel="0" collapsed="false">
      <c r="A178" s="5" t="s">
        <v>69</v>
      </c>
      <c r="B178" s="5" t="s">
        <v>94</v>
      </c>
      <c r="C178" s="5" t="s">
        <v>27</v>
      </c>
      <c r="D178" s="5" t="n">
        <v>2</v>
      </c>
      <c r="E178" s="5" t="n">
        <v>2</v>
      </c>
    </row>
    <row r="179" customFormat="false" ht="15" hidden="false" customHeight="false" outlineLevel="0" collapsed="false">
      <c r="A179" s="8" t="s">
        <v>71</v>
      </c>
      <c r="B179" s="8" t="s">
        <v>94</v>
      </c>
      <c r="C179" s="8" t="s">
        <v>27</v>
      </c>
      <c r="D179" s="8" t="n">
        <v>4</v>
      </c>
      <c r="E179" s="8" t="n">
        <v>3</v>
      </c>
    </row>
    <row r="180" customFormat="false" ht="15" hidden="false" customHeight="false" outlineLevel="0" collapsed="false">
      <c r="A180" s="5" t="s">
        <v>72</v>
      </c>
      <c r="B180" s="5" t="s">
        <v>94</v>
      </c>
      <c r="C180" s="5" t="s">
        <v>27</v>
      </c>
      <c r="D180" s="5" t="n">
        <v>2</v>
      </c>
      <c r="E180" s="5" t="n">
        <v>2</v>
      </c>
    </row>
    <row r="181" customFormat="false" ht="15" hidden="false" customHeight="false" outlineLevel="0" collapsed="false">
      <c r="A181" s="8" t="s">
        <v>73</v>
      </c>
      <c r="B181" s="8" t="s">
        <v>94</v>
      </c>
      <c r="C181" s="8" t="s">
        <v>27</v>
      </c>
      <c r="D181" s="8" t="n">
        <v>3</v>
      </c>
      <c r="E181" s="8" t="n">
        <v>2</v>
      </c>
    </row>
    <row r="182" customFormat="false" ht="15" hidden="false" customHeight="false" outlineLevel="0" collapsed="false">
      <c r="A182" s="5" t="s">
        <v>74</v>
      </c>
      <c r="B182" s="5" t="s">
        <v>94</v>
      </c>
      <c r="C182" s="5" t="s">
        <v>27</v>
      </c>
      <c r="D182" s="5" t="n">
        <v>2</v>
      </c>
      <c r="E182" s="5" t="n">
        <v>2</v>
      </c>
    </row>
    <row r="183" customFormat="false" ht="15" hidden="false" customHeight="false" outlineLevel="0" collapsed="false">
      <c r="A183" s="8" t="s">
        <v>75</v>
      </c>
      <c r="B183" s="8" t="s">
        <v>94</v>
      </c>
      <c r="C183" s="8" t="s">
        <v>27</v>
      </c>
      <c r="D183" s="8" t="n">
        <v>3</v>
      </c>
      <c r="E183" s="8" t="n">
        <v>2</v>
      </c>
    </row>
    <row r="184" customFormat="false" ht="15" hidden="false" customHeight="false" outlineLevel="0" collapsed="false">
      <c r="A184" s="5" t="s">
        <v>76</v>
      </c>
      <c r="B184" s="5" t="s">
        <v>94</v>
      </c>
      <c r="C184" s="5" t="s">
        <v>27</v>
      </c>
      <c r="D184" s="5" t="n">
        <v>1</v>
      </c>
      <c r="E184" s="5" t="n">
        <v>1</v>
      </c>
    </row>
    <row r="185" customFormat="false" ht="15" hidden="false" customHeight="false" outlineLevel="0" collapsed="false">
      <c r="A185" s="8" t="s">
        <v>77</v>
      </c>
      <c r="B185" s="8" t="s">
        <v>94</v>
      </c>
      <c r="C185" s="8" t="s">
        <v>27</v>
      </c>
      <c r="D185" s="8" t="n">
        <v>4</v>
      </c>
      <c r="E185" s="8" t="n">
        <v>3</v>
      </c>
    </row>
    <row r="186" customFormat="false" ht="15" hidden="false" customHeight="false" outlineLevel="0" collapsed="false">
      <c r="A186" s="5" t="s">
        <v>78</v>
      </c>
      <c r="B186" s="5" t="s">
        <v>94</v>
      </c>
      <c r="C186" s="5" t="s">
        <v>27</v>
      </c>
      <c r="D186" s="5" t="n">
        <v>2</v>
      </c>
      <c r="E186" s="5" t="n">
        <v>2</v>
      </c>
    </row>
    <row r="187" customFormat="false" ht="15" hidden="false" customHeight="false" outlineLevel="0" collapsed="false">
      <c r="A187" s="8" t="s">
        <v>79</v>
      </c>
      <c r="B187" s="8" t="s">
        <v>94</v>
      </c>
      <c r="C187" s="8" t="s">
        <v>27</v>
      </c>
      <c r="D187" s="8" t="n">
        <v>4</v>
      </c>
      <c r="E187" s="8" t="n">
        <v>3</v>
      </c>
    </row>
    <row r="188" customFormat="false" ht="15" hidden="false" customHeight="false" outlineLevel="0" collapsed="false">
      <c r="A188" s="5" t="s">
        <v>80</v>
      </c>
      <c r="B188" s="5" t="s">
        <v>94</v>
      </c>
      <c r="C188" s="5" t="s">
        <v>27</v>
      </c>
      <c r="D188" s="5" t="n">
        <v>2</v>
      </c>
      <c r="E188" s="5" t="n">
        <v>2</v>
      </c>
    </row>
    <row r="189" customFormat="false" ht="15" hidden="false" customHeight="false" outlineLevel="0" collapsed="false">
      <c r="A189" s="8" t="s">
        <v>81</v>
      </c>
      <c r="B189" s="8" t="s">
        <v>94</v>
      </c>
      <c r="C189" s="8" t="s">
        <v>27</v>
      </c>
      <c r="D189" s="8" t="n">
        <v>0</v>
      </c>
      <c r="E189" s="8" t="n">
        <v>1</v>
      </c>
    </row>
    <row r="190" customFormat="false" ht="15" hidden="false" customHeight="false" outlineLevel="0" collapsed="false">
      <c r="A190" s="5" t="s">
        <v>82</v>
      </c>
      <c r="B190" s="5" t="s">
        <v>94</v>
      </c>
      <c r="C190" s="5" t="s">
        <v>27</v>
      </c>
      <c r="D190" s="5" t="n">
        <v>2</v>
      </c>
      <c r="E190" s="5" t="n">
        <v>2</v>
      </c>
    </row>
    <row r="191" customFormat="false" ht="15" hidden="false" customHeight="false" outlineLevel="0" collapsed="false">
      <c r="A191" s="8" t="s">
        <v>83</v>
      </c>
      <c r="B191" s="8" t="s">
        <v>94</v>
      </c>
      <c r="C191" s="8" t="s">
        <v>27</v>
      </c>
      <c r="D191" s="8" t="n">
        <v>3</v>
      </c>
      <c r="E191" s="8" t="n">
        <v>2</v>
      </c>
    </row>
    <row r="192" customFormat="false" ht="15" hidden="false" customHeight="false" outlineLevel="0" collapsed="false">
      <c r="A192" s="5" t="s">
        <v>84</v>
      </c>
      <c r="B192" s="5" t="s">
        <v>94</v>
      </c>
      <c r="C192" s="5" t="s">
        <v>27</v>
      </c>
      <c r="D192" s="5" t="n">
        <v>1</v>
      </c>
      <c r="E192" s="5" t="n">
        <v>1</v>
      </c>
    </row>
    <row r="193" customFormat="false" ht="15" hidden="false" customHeight="false" outlineLevel="0" collapsed="false">
      <c r="A193" s="8" t="s">
        <v>85</v>
      </c>
      <c r="B193" s="8" t="s">
        <v>94</v>
      </c>
      <c r="C193" s="8" t="s">
        <v>27</v>
      </c>
      <c r="D193" s="8" t="n">
        <v>3</v>
      </c>
      <c r="E193" s="8" t="n">
        <v>2</v>
      </c>
    </row>
    <row r="194" customFormat="false" ht="15" hidden="false" customHeight="false" outlineLevel="0" collapsed="false">
      <c r="A194" s="5" t="s">
        <v>86</v>
      </c>
      <c r="B194" s="5" t="s">
        <v>94</v>
      </c>
      <c r="C194" s="5" t="s">
        <v>27</v>
      </c>
      <c r="D194" s="5" t="n">
        <v>2</v>
      </c>
      <c r="E194" s="5" t="n">
        <v>2</v>
      </c>
    </row>
    <row r="195" customFormat="false" ht="15" hidden="false" customHeight="false" outlineLevel="0" collapsed="false">
      <c r="A195" s="8" t="s">
        <v>87</v>
      </c>
      <c r="B195" s="8" t="s">
        <v>94</v>
      </c>
      <c r="C195" s="8" t="s">
        <v>27</v>
      </c>
      <c r="D195" s="8" t="n">
        <v>2</v>
      </c>
      <c r="E195" s="8" t="n">
        <v>2</v>
      </c>
    </row>
    <row r="196" customFormat="false" ht="15" hidden="false" customHeight="false" outlineLevel="0" collapsed="false">
      <c r="A196" s="5" t="s">
        <v>88</v>
      </c>
      <c r="B196" s="5" t="s">
        <v>94</v>
      </c>
      <c r="C196" s="5" t="s">
        <v>27</v>
      </c>
      <c r="D196" s="5" t="n">
        <v>1</v>
      </c>
      <c r="E196" s="5" t="n">
        <v>1</v>
      </c>
    </row>
    <row r="197" customFormat="false" ht="15" hidden="false" customHeight="false" outlineLevel="0" collapsed="false">
      <c r="A197" s="8" t="s">
        <v>89</v>
      </c>
      <c r="B197" s="8" t="s">
        <v>94</v>
      </c>
      <c r="C197" s="8" t="s">
        <v>27</v>
      </c>
      <c r="D197" s="8" t="n">
        <v>3</v>
      </c>
      <c r="E197" s="8" t="n">
        <v>2</v>
      </c>
    </row>
    <row r="198" customFormat="false" ht="15" hidden="false" customHeight="false" outlineLevel="0" collapsed="false">
      <c r="A198" s="5" t="s">
        <v>90</v>
      </c>
      <c r="B198" s="5" t="s">
        <v>94</v>
      </c>
      <c r="C198" s="5" t="s">
        <v>27</v>
      </c>
      <c r="D198" s="5" t="n">
        <v>1</v>
      </c>
      <c r="E198" s="5" t="n">
        <v>1</v>
      </c>
    </row>
    <row r="199" customFormat="false" ht="15" hidden="false" customHeight="false" outlineLevel="0" collapsed="false">
      <c r="A199" s="8" t="s">
        <v>91</v>
      </c>
      <c r="B199" s="8" t="s">
        <v>94</v>
      </c>
      <c r="C199" s="8" t="s">
        <v>27</v>
      </c>
      <c r="D199" s="8" t="n">
        <v>3</v>
      </c>
      <c r="E199" s="8" t="n">
        <v>2</v>
      </c>
    </row>
    <row r="200" customFormat="false" ht="15" hidden="false" customHeight="false" outlineLevel="0" collapsed="false">
      <c r="A200" s="5" t="s">
        <v>92</v>
      </c>
      <c r="B200" s="5" t="s">
        <v>94</v>
      </c>
      <c r="C200" s="5" t="s">
        <v>27</v>
      </c>
      <c r="D200" s="5" t="n">
        <v>0</v>
      </c>
      <c r="E200" s="5" t="n">
        <v>1</v>
      </c>
    </row>
    <row r="201" customFormat="false" ht="15" hidden="false" customHeight="false" outlineLevel="0" collapsed="false">
      <c r="A201" s="8" t="s">
        <v>93</v>
      </c>
      <c r="B201" s="8" t="s">
        <v>94</v>
      </c>
      <c r="C201" s="8" t="s">
        <v>27</v>
      </c>
      <c r="D201" s="8" t="n">
        <v>0</v>
      </c>
      <c r="E201" s="8" t="n">
        <v>1</v>
      </c>
    </row>
    <row r="202" customFormat="false" ht="15" hidden="false" customHeight="false" outlineLevel="0" collapsed="false">
      <c r="A202" s="5" t="s">
        <v>67</v>
      </c>
      <c r="B202" s="5" t="s">
        <v>68</v>
      </c>
      <c r="C202" s="5" t="s">
        <v>29</v>
      </c>
      <c r="D202" s="5" t="n">
        <v>3</v>
      </c>
      <c r="E202" s="5" t="n">
        <v>2</v>
      </c>
    </row>
    <row r="203" customFormat="false" ht="15" hidden="false" customHeight="false" outlineLevel="0" collapsed="false">
      <c r="A203" s="8" t="s">
        <v>69</v>
      </c>
      <c r="B203" s="8" t="s">
        <v>68</v>
      </c>
      <c r="C203" s="8" t="s">
        <v>29</v>
      </c>
      <c r="D203" s="8" t="s">
        <v>70</v>
      </c>
      <c r="E203" s="8"/>
    </row>
    <row r="204" customFormat="false" ht="15" hidden="false" customHeight="false" outlineLevel="0" collapsed="false">
      <c r="A204" s="5" t="s">
        <v>71</v>
      </c>
      <c r="B204" s="5" t="s">
        <v>68</v>
      </c>
      <c r="C204" s="5" t="s">
        <v>29</v>
      </c>
      <c r="D204" s="5" t="n">
        <v>4</v>
      </c>
      <c r="E204" s="5" t="n">
        <v>3</v>
      </c>
    </row>
    <row r="205" customFormat="false" ht="15" hidden="false" customHeight="false" outlineLevel="0" collapsed="false">
      <c r="A205" s="8" t="s">
        <v>72</v>
      </c>
      <c r="B205" s="8" t="s">
        <v>68</v>
      </c>
      <c r="C205" s="8" t="s">
        <v>29</v>
      </c>
      <c r="D205" s="8" t="n">
        <v>2</v>
      </c>
      <c r="E205" s="8" t="n">
        <v>2</v>
      </c>
    </row>
    <row r="206" customFormat="false" ht="15" hidden="false" customHeight="false" outlineLevel="0" collapsed="false">
      <c r="A206" s="5" t="s">
        <v>73</v>
      </c>
      <c r="B206" s="5" t="s">
        <v>68</v>
      </c>
      <c r="C206" s="5" t="s">
        <v>29</v>
      </c>
      <c r="D206" s="5" t="n">
        <v>1</v>
      </c>
      <c r="E206" s="5" t="n">
        <v>1</v>
      </c>
    </row>
    <row r="207" customFormat="false" ht="15" hidden="false" customHeight="false" outlineLevel="0" collapsed="false">
      <c r="A207" s="8" t="s">
        <v>74</v>
      </c>
      <c r="B207" s="8" t="s">
        <v>68</v>
      </c>
      <c r="C207" s="8" t="s">
        <v>29</v>
      </c>
      <c r="D207" s="8" t="n">
        <v>4</v>
      </c>
      <c r="E207" s="8" t="n">
        <v>3</v>
      </c>
    </row>
    <row r="208" customFormat="false" ht="15" hidden="false" customHeight="false" outlineLevel="0" collapsed="false">
      <c r="A208" s="5" t="s">
        <v>75</v>
      </c>
      <c r="B208" s="5" t="s">
        <v>68</v>
      </c>
      <c r="C208" s="5" t="s">
        <v>29</v>
      </c>
      <c r="D208" s="5" t="n">
        <v>5</v>
      </c>
      <c r="E208" s="5" t="n">
        <v>4</v>
      </c>
    </row>
    <row r="209" customFormat="false" ht="15" hidden="false" customHeight="false" outlineLevel="0" collapsed="false">
      <c r="A209" s="8" t="s">
        <v>76</v>
      </c>
      <c r="B209" s="8" t="s">
        <v>68</v>
      </c>
      <c r="C209" s="8" t="s">
        <v>29</v>
      </c>
      <c r="D209" s="8" t="n">
        <v>4</v>
      </c>
      <c r="E209" s="8" t="n">
        <v>3</v>
      </c>
    </row>
    <row r="210" customFormat="false" ht="15" hidden="false" customHeight="false" outlineLevel="0" collapsed="false">
      <c r="A210" s="5" t="s">
        <v>77</v>
      </c>
      <c r="B210" s="5" t="s">
        <v>68</v>
      </c>
      <c r="C210" s="5" t="s">
        <v>29</v>
      </c>
      <c r="D210" s="5" t="s">
        <v>70</v>
      </c>
      <c r="E210" s="5"/>
    </row>
    <row r="211" customFormat="false" ht="15" hidden="false" customHeight="false" outlineLevel="0" collapsed="false">
      <c r="A211" s="8" t="s">
        <v>78</v>
      </c>
      <c r="B211" s="8" t="s">
        <v>68</v>
      </c>
      <c r="C211" s="8" t="s">
        <v>29</v>
      </c>
      <c r="D211" s="8" t="n">
        <v>3</v>
      </c>
      <c r="E211" s="8" t="n">
        <v>2</v>
      </c>
    </row>
    <row r="212" customFormat="false" ht="15" hidden="false" customHeight="false" outlineLevel="0" collapsed="false">
      <c r="A212" s="5" t="s">
        <v>79</v>
      </c>
      <c r="B212" s="5" t="s">
        <v>68</v>
      </c>
      <c r="C212" s="5" t="s">
        <v>29</v>
      </c>
      <c r="D212" s="5" t="n">
        <v>4</v>
      </c>
      <c r="E212" s="5" t="n">
        <v>3</v>
      </c>
    </row>
    <row r="213" customFormat="false" ht="15" hidden="false" customHeight="false" outlineLevel="0" collapsed="false">
      <c r="A213" s="8" t="s">
        <v>80</v>
      </c>
      <c r="B213" s="8" t="s">
        <v>68</v>
      </c>
      <c r="C213" s="8" t="s">
        <v>29</v>
      </c>
      <c r="D213" s="8" t="n">
        <v>3</v>
      </c>
      <c r="E213" s="8" t="n">
        <v>2</v>
      </c>
    </row>
    <row r="214" customFormat="false" ht="15" hidden="false" customHeight="false" outlineLevel="0" collapsed="false">
      <c r="A214" s="5" t="s">
        <v>81</v>
      </c>
      <c r="B214" s="5" t="s">
        <v>68</v>
      </c>
      <c r="C214" s="5" t="s">
        <v>29</v>
      </c>
      <c r="D214" s="5" t="n">
        <v>3</v>
      </c>
      <c r="E214" s="5" t="n">
        <v>2</v>
      </c>
    </row>
    <row r="215" customFormat="false" ht="15" hidden="false" customHeight="false" outlineLevel="0" collapsed="false">
      <c r="A215" s="8" t="s">
        <v>82</v>
      </c>
      <c r="B215" s="8" t="s">
        <v>68</v>
      </c>
      <c r="C215" s="8" t="s">
        <v>29</v>
      </c>
      <c r="D215" s="8" t="n">
        <v>5</v>
      </c>
      <c r="E215" s="8" t="n">
        <v>4</v>
      </c>
    </row>
    <row r="216" customFormat="false" ht="15" hidden="false" customHeight="false" outlineLevel="0" collapsed="false">
      <c r="A216" s="5" t="s">
        <v>83</v>
      </c>
      <c r="B216" s="5" t="s">
        <v>68</v>
      </c>
      <c r="C216" s="5" t="s">
        <v>29</v>
      </c>
      <c r="D216" s="5" t="n">
        <v>3</v>
      </c>
      <c r="E216" s="5" t="n">
        <v>2</v>
      </c>
    </row>
    <row r="217" customFormat="false" ht="15" hidden="false" customHeight="false" outlineLevel="0" collapsed="false">
      <c r="A217" s="8" t="s">
        <v>84</v>
      </c>
      <c r="B217" s="8" t="s">
        <v>68</v>
      </c>
      <c r="C217" s="8" t="s">
        <v>29</v>
      </c>
      <c r="D217" s="8" t="n">
        <v>5</v>
      </c>
      <c r="E217" s="8" t="n">
        <v>4</v>
      </c>
    </row>
    <row r="218" customFormat="false" ht="15" hidden="false" customHeight="false" outlineLevel="0" collapsed="false">
      <c r="A218" s="5" t="s">
        <v>85</v>
      </c>
      <c r="B218" s="5" t="s">
        <v>68</v>
      </c>
      <c r="C218" s="5" t="s">
        <v>29</v>
      </c>
      <c r="D218" s="5" t="n">
        <v>0</v>
      </c>
      <c r="E218" s="5" t="n">
        <v>1</v>
      </c>
    </row>
    <row r="219" customFormat="false" ht="15" hidden="false" customHeight="false" outlineLevel="0" collapsed="false">
      <c r="A219" s="8" t="s">
        <v>86</v>
      </c>
      <c r="B219" s="8" t="s">
        <v>68</v>
      </c>
      <c r="C219" s="8" t="s">
        <v>29</v>
      </c>
      <c r="D219" s="8" t="n">
        <v>3</v>
      </c>
      <c r="E219" s="8" t="n">
        <v>2</v>
      </c>
    </row>
    <row r="220" customFormat="false" ht="15" hidden="false" customHeight="false" outlineLevel="0" collapsed="false">
      <c r="A220" s="5" t="s">
        <v>87</v>
      </c>
      <c r="B220" s="5" t="s">
        <v>68</v>
      </c>
      <c r="C220" s="5" t="s">
        <v>29</v>
      </c>
      <c r="D220" s="5" t="n">
        <v>2</v>
      </c>
      <c r="E220" s="5" t="n">
        <v>2</v>
      </c>
    </row>
    <row r="221" customFormat="false" ht="15" hidden="false" customHeight="false" outlineLevel="0" collapsed="false">
      <c r="A221" s="8" t="s">
        <v>88</v>
      </c>
      <c r="B221" s="8" t="s">
        <v>68</v>
      </c>
      <c r="C221" s="8" t="s">
        <v>29</v>
      </c>
      <c r="D221" s="8" t="n">
        <v>2</v>
      </c>
      <c r="E221" s="8" t="n">
        <v>2</v>
      </c>
    </row>
    <row r="222" customFormat="false" ht="15" hidden="false" customHeight="false" outlineLevel="0" collapsed="false">
      <c r="A222" s="5" t="s">
        <v>89</v>
      </c>
      <c r="B222" s="5" t="s">
        <v>68</v>
      </c>
      <c r="C222" s="5" t="s">
        <v>29</v>
      </c>
      <c r="D222" s="5" t="n">
        <v>3</v>
      </c>
      <c r="E222" s="5" t="n">
        <v>2</v>
      </c>
    </row>
    <row r="223" customFormat="false" ht="15" hidden="false" customHeight="false" outlineLevel="0" collapsed="false">
      <c r="A223" s="8" t="s">
        <v>90</v>
      </c>
      <c r="B223" s="8" t="s">
        <v>68</v>
      </c>
      <c r="C223" s="8" t="s">
        <v>29</v>
      </c>
      <c r="D223" s="8" t="n">
        <v>3</v>
      </c>
      <c r="E223" s="8" t="n">
        <v>2</v>
      </c>
    </row>
    <row r="224" customFormat="false" ht="15" hidden="false" customHeight="false" outlineLevel="0" collapsed="false">
      <c r="A224" s="5" t="s">
        <v>91</v>
      </c>
      <c r="B224" s="5" t="s">
        <v>68</v>
      </c>
      <c r="C224" s="5" t="s">
        <v>29</v>
      </c>
      <c r="D224" s="5" t="n">
        <v>4</v>
      </c>
      <c r="E224" s="5" t="n">
        <v>3</v>
      </c>
    </row>
    <row r="225" customFormat="false" ht="15" hidden="false" customHeight="false" outlineLevel="0" collapsed="false">
      <c r="A225" s="8" t="s">
        <v>92</v>
      </c>
      <c r="B225" s="8" t="s">
        <v>68</v>
      </c>
      <c r="C225" s="8" t="s">
        <v>29</v>
      </c>
      <c r="D225" s="8" t="n">
        <v>5</v>
      </c>
      <c r="E225" s="8" t="n">
        <v>4</v>
      </c>
    </row>
    <row r="226" customFormat="false" ht="15" hidden="false" customHeight="false" outlineLevel="0" collapsed="false">
      <c r="A226" s="5" t="s">
        <v>93</v>
      </c>
      <c r="B226" s="5" t="s">
        <v>68</v>
      </c>
      <c r="C226" s="5" t="s">
        <v>29</v>
      </c>
      <c r="D226" s="5" t="n">
        <v>2</v>
      </c>
      <c r="E226" s="5" t="n">
        <v>2</v>
      </c>
    </row>
    <row r="227" customFormat="false" ht="15" hidden="false" customHeight="false" outlineLevel="0" collapsed="false">
      <c r="A227" s="8" t="s">
        <v>67</v>
      </c>
      <c r="B227" s="8" t="s">
        <v>94</v>
      </c>
      <c r="C227" s="8" t="s">
        <v>29</v>
      </c>
      <c r="D227" s="8" t="n">
        <v>2</v>
      </c>
      <c r="E227" s="8" t="n">
        <v>2</v>
      </c>
    </row>
    <row r="228" customFormat="false" ht="15" hidden="false" customHeight="false" outlineLevel="0" collapsed="false">
      <c r="A228" s="5" t="s">
        <v>69</v>
      </c>
      <c r="B228" s="5" t="s">
        <v>94</v>
      </c>
      <c r="C228" s="5" t="s">
        <v>29</v>
      </c>
      <c r="D228" s="5" t="n">
        <v>5</v>
      </c>
      <c r="E228" s="5" t="n">
        <v>4</v>
      </c>
    </row>
    <row r="229" customFormat="false" ht="15" hidden="false" customHeight="false" outlineLevel="0" collapsed="false">
      <c r="A229" s="8" t="s">
        <v>71</v>
      </c>
      <c r="B229" s="8" t="s">
        <v>94</v>
      </c>
      <c r="C229" s="8" t="s">
        <v>29</v>
      </c>
      <c r="D229" s="8" t="n">
        <v>5</v>
      </c>
      <c r="E229" s="8" t="n">
        <v>4</v>
      </c>
    </row>
    <row r="230" customFormat="false" ht="15" hidden="false" customHeight="false" outlineLevel="0" collapsed="false">
      <c r="A230" s="5" t="s">
        <v>72</v>
      </c>
      <c r="B230" s="5" t="s">
        <v>94</v>
      </c>
      <c r="C230" s="5" t="s">
        <v>29</v>
      </c>
      <c r="D230" s="5" t="n">
        <v>3</v>
      </c>
      <c r="E230" s="5" t="n">
        <v>2</v>
      </c>
    </row>
    <row r="231" customFormat="false" ht="15" hidden="false" customHeight="false" outlineLevel="0" collapsed="false">
      <c r="A231" s="8" t="s">
        <v>73</v>
      </c>
      <c r="B231" s="8" t="s">
        <v>94</v>
      </c>
      <c r="C231" s="8" t="s">
        <v>29</v>
      </c>
      <c r="D231" s="8" t="n">
        <v>4</v>
      </c>
      <c r="E231" s="8" t="n">
        <v>3</v>
      </c>
    </row>
    <row r="232" customFormat="false" ht="15" hidden="false" customHeight="false" outlineLevel="0" collapsed="false">
      <c r="A232" s="5" t="s">
        <v>74</v>
      </c>
      <c r="B232" s="5" t="s">
        <v>94</v>
      </c>
      <c r="C232" s="5" t="s">
        <v>29</v>
      </c>
      <c r="D232" s="5" t="n">
        <v>2</v>
      </c>
      <c r="E232" s="5" t="n">
        <v>2</v>
      </c>
    </row>
    <row r="233" customFormat="false" ht="15" hidden="false" customHeight="false" outlineLevel="0" collapsed="false">
      <c r="A233" s="8" t="s">
        <v>75</v>
      </c>
      <c r="B233" s="8" t="s">
        <v>94</v>
      </c>
      <c r="C233" s="8" t="s">
        <v>29</v>
      </c>
      <c r="D233" s="8" t="n">
        <v>2</v>
      </c>
      <c r="E233" s="8" t="n">
        <v>2</v>
      </c>
    </row>
    <row r="234" customFormat="false" ht="15" hidden="false" customHeight="false" outlineLevel="0" collapsed="false">
      <c r="A234" s="5" t="s">
        <v>76</v>
      </c>
      <c r="B234" s="5" t="s">
        <v>94</v>
      </c>
      <c r="C234" s="5" t="s">
        <v>29</v>
      </c>
      <c r="D234" s="5" t="n">
        <v>3</v>
      </c>
      <c r="E234" s="5" t="n">
        <v>2</v>
      </c>
    </row>
    <row r="235" customFormat="false" ht="15" hidden="false" customHeight="false" outlineLevel="0" collapsed="false">
      <c r="A235" s="8" t="s">
        <v>77</v>
      </c>
      <c r="B235" s="8" t="s">
        <v>94</v>
      </c>
      <c r="C235" s="8" t="s">
        <v>29</v>
      </c>
      <c r="D235" s="8" t="n">
        <v>3</v>
      </c>
      <c r="E235" s="8" t="n">
        <v>2</v>
      </c>
    </row>
    <row r="236" customFormat="false" ht="15" hidden="false" customHeight="false" outlineLevel="0" collapsed="false">
      <c r="A236" s="5" t="s">
        <v>78</v>
      </c>
      <c r="B236" s="5" t="s">
        <v>94</v>
      </c>
      <c r="C236" s="5" t="s">
        <v>29</v>
      </c>
      <c r="D236" s="5" t="n">
        <v>3</v>
      </c>
      <c r="E236" s="5" t="n">
        <v>2</v>
      </c>
    </row>
    <row r="237" customFormat="false" ht="15" hidden="false" customHeight="false" outlineLevel="0" collapsed="false">
      <c r="A237" s="8" t="s">
        <v>79</v>
      </c>
      <c r="B237" s="8" t="s">
        <v>94</v>
      </c>
      <c r="C237" s="8" t="s">
        <v>29</v>
      </c>
      <c r="D237" s="8" t="n">
        <v>4</v>
      </c>
      <c r="E237" s="8" t="n">
        <v>3</v>
      </c>
    </row>
    <row r="238" customFormat="false" ht="15" hidden="false" customHeight="false" outlineLevel="0" collapsed="false">
      <c r="A238" s="5" t="s">
        <v>80</v>
      </c>
      <c r="B238" s="5" t="s">
        <v>94</v>
      </c>
      <c r="C238" s="5" t="s">
        <v>29</v>
      </c>
      <c r="D238" s="5" t="n">
        <v>2</v>
      </c>
      <c r="E238" s="5" t="n">
        <v>2</v>
      </c>
    </row>
    <row r="239" customFormat="false" ht="15" hidden="false" customHeight="false" outlineLevel="0" collapsed="false">
      <c r="A239" s="8" t="s">
        <v>81</v>
      </c>
      <c r="B239" s="8" t="s">
        <v>94</v>
      </c>
      <c r="C239" s="8" t="s">
        <v>29</v>
      </c>
      <c r="D239" s="8" t="n">
        <v>3</v>
      </c>
      <c r="E239" s="8" t="n">
        <v>2</v>
      </c>
    </row>
    <row r="240" customFormat="false" ht="15" hidden="false" customHeight="false" outlineLevel="0" collapsed="false">
      <c r="A240" s="5" t="s">
        <v>82</v>
      </c>
      <c r="B240" s="5" t="s">
        <v>94</v>
      </c>
      <c r="C240" s="5" t="s">
        <v>29</v>
      </c>
      <c r="D240" s="5" t="s">
        <v>70</v>
      </c>
      <c r="E240" s="5"/>
    </row>
    <row r="241" customFormat="false" ht="15" hidden="false" customHeight="false" outlineLevel="0" collapsed="false">
      <c r="A241" s="8" t="s">
        <v>83</v>
      </c>
      <c r="B241" s="8" t="s">
        <v>94</v>
      </c>
      <c r="C241" s="8" t="s">
        <v>29</v>
      </c>
      <c r="D241" s="8" t="n">
        <v>5</v>
      </c>
      <c r="E241" s="8" t="n">
        <v>4</v>
      </c>
    </row>
    <row r="242" customFormat="false" ht="15" hidden="false" customHeight="false" outlineLevel="0" collapsed="false">
      <c r="A242" s="5" t="s">
        <v>84</v>
      </c>
      <c r="B242" s="5" t="s">
        <v>94</v>
      </c>
      <c r="C242" s="5" t="s">
        <v>29</v>
      </c>
      <c r="D242" s="5" t="n">
        <v>2</v>
      </c>
      <c r="E242" s="5" t="n">
        <v>2</v>
      </c>
    </row>
    <row r="243" customFormat="false" ht="15" hidden="false" customHeight="false" outlineLevel="0" collapsed="false">
      <c r="A243" s="8" t="s">
        <v>85</v>
      </c>
      <c r="B243" s="8" t="s">
        <v>94</v>
      </c>
      <c r="C243" s="8" t="s">
        <v>29</v>
      </c>
      <c r="D243" s="8" t="n">
        <v>3</v>
      </c>
      <c r="E243" s="8" t="n">
        <v>2</v>
      </c>
    </row>
    <row r="244" customFormat="false" ht="15" hidden="false" customHeight="false" outlineLevel="0" collapsed="false">
      <c r="A244" s="5" t="s">
        <v>86</v>
      </c>
      <c r="B244" s="5" t="s">
        <v>94</v>
      </c>
      <c r="C244" s="5" t="s">
        <v>29</v>
      </c>
      <c r="D244" s="5" t="n">
        <v>4</v>
      </c>
      <c r="E244" s="5" t="n">
        <v>3</v>
      </c>
    </row>
    <row r="245" customFormat="false" ht="15" hidden="false" customHeight="false" outlineLevel="0" collapsed="false">
      <c r="A245" s="8" t="s">
        <v>87</v>
      </c>
      <c r="B245" s="8" t="s">
        <v>94</v>
      </c>
      <c r="C245" s="8" t="s">
        <v>29</v>
      </c>
      <c r="D245" s="8" t="n">
        <v>1</v>
      </c>
      <c r="E245" s="8" t="n">
        <v>1</v>
      </c>
    </row>
    <row r="246" customFormat="false" ht="15" hidden="false" customHeight="false" outlineLevel="0" collapsed="false">
      <c r="A246" s="5" t="s">
        <v>88</v>
      </c>
      <c r="B246" s="5" t="s">
        <v>94</v>
      </c>
      <c r="C246" s="5" t="s">
        <v>29</v>
      </c>
      <c r="D246" s="5" t="n">
        <v>3</v>
      </c>
      <c r="E246" s="5" t="n">
        <v>2</v>
      </c>
    </row>
    <row r="247" customFormat="false" ht="15" hidden="false" customHeight="false" outlineLevel="0" collapsed="false">
      <c r="A247" s="8" t="s">
        <v>89</v>
      </c>
      <c r="B247" s="8" t="s">
        <v>94</v>
      </c>
      <c r="C247" s="8" t="s">
        <v>29</v>
      </c>
      <c r="D247" s="8" t="n">
        <v>5</v>
      </c>
      <c r="E247" s="8" t="n">
        <v>4</v>
      </c>
    </row>
    <row r="248" customFormat="false" ht="15" hidden="false" customHeight="false" outlineLevel="0" collapsed="false">
      <c r="A248" s="5" t="s">
        <v>90</v>
      </c>
      <c r="B248" s="5" t="s">
        <v>94</v>
      </c>
      <c r="C248" s="5" t="s">
        <v>29</v>
      </c>
      <c r="D248" s="5" t="n">
        <v>0</v>
      </c>
      <c r="E248" s="5" t="n">
        <v>1</v>
      </c>
    </row>
    <row r="249" customFormat="false" ht="15" hidden="false" customHeight="false" outlineLevel="0" collapsed="false">
      <c r="A249" s="8" t="s">
        <v>91</v>
      </c>
      <c r="B249" s="8" t="s">
        <v>94</v>
      </c>
      <c r="C249" s="8" t="s">
        <v>29</v>
      </c>
      <c r="D249" s="8" t="n">
        <v>2</v>
      </c>
      <c r="E249" s="8" t="n">
        <v>2</v>
      </c>
    </row>
    <row r="250" customFormat="false" ht="15" hidden="false" customHeight="false" outlineLevel="0" collapsed="false">
      <c r="A250" s="5" t="s">
        <v>92</v>
      </c>
      <c r="B250" s="5" t="s">
        <v>94</v>
      </c>
      <c r="C250" s="5" t="s">
        <v>29</v>
      </c>
      <c r="D250" s="5" t="n">
        <v>2</v>
      </c>
      <c r="E250" s="5" t="n">
        <v>2</v>
      </c>
    </row>
    <row r="251" customFormat="false" ht="15" hidden="false" customHeight="false" outlineLevel="0" collapsed="false">
      <c r="A251" s="8" t="s">
        <v>93</v>
      </c>
      <c r="B251" s="8" t="s">
        <v>94</v>
      </c>
      <c r="C251" s="8" t="s">
        <v>29</v>
      </c>
      <c r="D251" s="8" t="s">
        <v>70</v>
      </c>
      <c r="E251" s="8"/>
    </row>
    <row r="252" customFormat="false" ht="15" hidden="false" customHeight="false" outlineLevel="0" collapsed="false">
      <c r="A252" s="5" t="s">
        <v>67</v>
      </c>
      <c r="B252" s="5" t="s">
        <v>68</v>
      </c>
      <c r="C252" s="5" t="s">
        <v>31</v>
      </c>
      <c r="D252" s="5" t="n">
        <v>4</v>
      </c>
      <c r="E252" s="5" t="n">
        <v>3</v>
      </c>
    </row>
    <row r="253" customFormat="false" ht="15" hidden="false" customHeight="false" outlineLevel="0" collapsed="false">
      <c r="A253" s="8" t="s">
        <v>69</v>
      </c>
      <c r="B253" s="8" t="s">
        <v>68</v>
      </c>
      <c r="C253" s="8" t="s">
        <v>31</v>
      </c>
      <c r="D253" s="8" t="n">
        <v>3</v>
      </c>
      <c r="E253" s="8" t="n">
        <v>2</v>
      </c>
    </row>
    <row r="254" customFormat="false" ht="15" hidden="false" customHeight="false" outlineLevel="0" collapsed="false">
      <c r="A254" s="5" t="s">
        <v>71</v>
      </c>
      <c r="B254" s="5" t="s">
        <v>68</v>
      </c>
      <c r="C254" s="5" t="s">
        <v>31</v>
      </c>
      <c r="D254" s="5" t="n">
        <v>0</v>
      </c>
      <c r="E254" s="5" t="n">
        <v>1</v>
      </c>
    </row>
    <row r="255" customFormat="false" ht="15" hidden="false" customHeight="false" outlineLevel="0" collapsed="false">
      <c r="A255" s="8" t="s">
        <v>72</v>
      </c>
      <c r="B255" s="8" t="s">
        <v>68</v>
      </c>
      <c r="C255" s="8" t="s">
        <v>31</v>
      </c>
      <c r="D255" s="8" t="n">
        <v>2</v>
      </c>
      <c r="E255" s="8" t="n">
        <v>2</v>
      </c>
    </row>
    <row r="256" customFormat="false" ht="15" hidden="false" customHeight="false" outlineLevel="0" collapsed="false">
      <c r="A256" s="5" t="s">
        <v>73</v>
      </c>
      <c r="B256" s="5" t="s">
        <v>68</v>
      </c>
      <c r="C256" s="5" t="s">
        <v>31</v>
      </c>
      <c r="D256" s="5" t="n">
        <v>3</v>
      </c>
      <c r="E256" s="5" t="n">
        <v>2</v>
      </c>
    </row>
    <row r="257" customFormat="false" ht="15" hidden="false" customHeight="false" outlineLevel="0" collapsed="false">
      <c r="A257" s="8" t="s">
        <v>74</v>
      </c>
      <c r="B257" s="8" t="s">
        <v>68</v>
      </c>
      <c r="C257" s="8" t="s">
        <v>31</v>
      </c>
      <c r="D257" s="8" t="s">
        <v>70</v>
      </c>
      <c r="E257" s="8"/>
    </row>
    <row r="258" customFormat="false" ht="15" hidden="false" customHeight="false" outlineLevel="0" collapsed="false">
      <c r="A258" s="5" t="s">
        <v>75</v>
      </c>
      <c r="B258" s="5" t="s">
        <v>68</v>
      </c>
      <c r="C258" s="5" t="s">
        <v>31</v>
      </c>
      <c r="D258" s="5" t="n">
        <v>4</v>
      </c>
      <c r="E258" s="5" t="n">
        <v>3</v>
      </c>
    </row>
    <row r="259" customFormat="false" ht="15" hidden="false" customHeight="false" outlineLevel="0" collapsed="false">
      <c r="A259" s="8" t="s">
        <v>76</v>
      </c>
      <c r="B259" s="8" t="s">
        <v>68</v>
      </c>
      <c r="C259" s="8" t="s">
        <v>31</v>
      </c>
      <c r="D259" s="8" t="s">
        <v>70</v>
      </c>
      <c r="E259" s="8"/>
    </row>
    <row r="260" customFormat="false" ht="15" hidden="false" customHeight="false" outlineLevel="0" collapsed="false">
      <c r="A260" s="5" t="s">
        <v>77</v>
      </c>
      <c r="B260" s="5" t="s">
        <v>68</v>
      </c>
      <c r="C260" s="5" t="s">
        <v>31</v>
      </c>
      <c r="D260" s="5" t="n">
        <v>4</v>
      </c>
      <c r="E260" s="5" t="n">
        <v>3</v>
      </c>
    </row>
    <row r="261" customFormat="false" ht="15" hidden="false" customHeight="false" outlineLevel="0" collapsed="false">
      <c r="A261" s="8" t="s">
        <v>78</v>
      </c>
      <c r="B261" s="8" t="s">
        <v>68</v>
      </c>
      <c r="C261" s="8" t="s">
        <v>31</v>
      </c>
      <c r="D261" s="8" t="n">
        <v>2</v>
      </c>
      <c r="E261" s="8" t="n">
        <v>2</v>
      </c>
    </row>
    <row r="262" customFormat="false" ht="15" hidden="false" customHeight="false" outlineLevel="0" collapsed="false">
      <c r="A262" s="5" t="s">
        <v>79</v>
      </c>
      <c r="B262" s="5" t="s">
        <v>68</v>
      </c>
      <c r="C262" s="5" t="s">
        <v>31</v>
      </c>
      <c r="D262" s="5" t="n">
        <v>2</v>
      </c>
      <c r="E262" s="5" t="n">
        <v>2</v>
      </c>
    </row>
    <row r="263" customFormat="false" ht="15" hidden="false" customHeight="false" outlineLevel="0" collapsed="false">
      <c r="A263" s="8" t="s">
        <v>80</v>
      </c>
      <c r="B263" s="8" t="s">
        <v>68</v>
      </c>
      <c r="C263" s="8" t="s">
        <v>31</v>
      </c>
      <c r="D263" s="8" t="n">
        <v>2</v>
      </c>
      <c r="E263" s="8" t="n">
        <v>2</v>
      </c>
    </row>
    <row r="264" customFormat="false" ht="15" hidden="false" customHeight="false" outlineLevel="0" collapsed="false">
      <c r="A264" s="5" t="s">
        <v>81</v>
      </c>
      <c r="B264" s="5" t="s">
        <v>68</v>
      </c>
      <c r="C264" s="5" t="s">
        <v>31</v>
      </c>
      <c r="D264" s="5" t="n">
        <v>1</v>
      </c>
      <c r="E264" s="5" t="n">
        <v>1</v>
      </c>
    </row>
    <row r="265" customFormat="false" ht="15" hidden="false" customHeight="false" outlineLevel="0" collapsed="false">
      <c r="A265" s="8" t="s">
        <v>82</v>
      </c>
      <c r="B265" s="8" t="s">
        <v>68</v>
      </c>
      <c r="C265" s="8" t="s">
        <v>31</v>
      </c>
      <c r="D265" s="8" t="n">
        <v>3</v>
      </c>
      <c r="E265" s="8" t="n">
        <v>2</v>
      </c>
    </row>
    <row r="266" customFormat="false" ht="15" hidden="false" customHeight="false" outlineLevel="0" collapsed="false">
      <c r="A266" s="5" t="s">
        <v>83</v>
      </c>
      <c r="B266" s="5" t="s">
        <v>68</v>
      </c>
      <c r="C266" s="5" t="s">
        <v>31</v>
      </c>
      <c r="D266" s="5" t="n">
        <v>4</v>
      </c>
      <c r="E266" s="5" t="n">
        <v>3</v>
      </c>
    </row>
    <row r="267" customFormat="false" ht="15" hidden="false" customHeight="false" outlineLevel="0" collapsed="false">
      <c r="A267" s="8" t="s">
        <v>84</v>
      </c>
      <c r="B267" s="8" t="s">
        <v>68</v>
      </c>
      <c r="C267" s="8" t="s">
        <v>31</v>
      </c>
      <c r="D267" s="8" t="n">
        <v>5</v>
      </c>
      <c r="E267" s="8" t="n">
        <v>4</v>
      </c>
    </row>
    <row r="268" customFormat="false" ht="15" hidden="false" customHeight="false" outlineLevel="0" collapsed="false">
      <c r="A268" s="5" t="s">
        <v>85</v>
      </c>
      <c r="B268" s="5" t="s">
        <v>68</v>
      </c>
      <c r="C268" s="5" t="s">
        <v>31</v>
      </c>
      <c r="D268" s="5" t="n">
        <v>2</v>
      </c>
      <c r="E268" s="5" t="n">
        <v>2</v>
      </c>
    </row>
    <row r="269" customFormat="false" ht="15" hidden="false" customHeight="false" outlineLevel="0" collapsed="false">
      <c r="A269" s="8" t="s">
        <v>86</v>
      </c>
      <c r="B269" s="8" t="s">
        <v>68</v>
      </c>
      <c r="C269" s="8" t="s">
        <v>31</v>
      </c>
      <c r="D269" s="8" t="n">
        <v>2</v>
      </c>
      <c r="E269" s="8" t="n">
        <v>2</v>
      </c>
    </row>
    <row r="270" customFormat="false" ht="15" hidden="false" customHeight="false" outlineLevel="0" collapsed="false">
      <c r="A270" s="5" t="s">
        <v>87</v>
      </c>
      <c r="B270" s="5" t="s">
        <v>68</v>
      </c>
      <c r="C270" s="5" t="s">
        <v>31</v>
      </c>
      <c r="D270" s="5" t="n">
        <v>0</v>
      </c>
      <c r="E270" s="5" t="n">
        <v>1</v>
      </c>
    </row>
    <row r="271" customFormat="false" ht="15" hidden="false" customHeight="false" outlineLevel="0" collapsed="false">
      <c r="A271" s="8" t="s">
        <v>88</v>
      </c>
      <c r="B271" s="8" t="s">
        <v>68</v>
      </c>
      <c r="C271" s="8" t="s">
        <v>31</v>
      </c>
      <c r="D271" s="8" t="n">
        <v>2</v>
      </c>
      <c r="E271" s="8" t="n">
        <v>2</v>
      </c>
    </row>
    <row r="272" customFormat="false" ht="15" hidden="false" customHeight="false" outlineLevel="0" collapsed="false">
      <c r="A272" s="5" t="s">
        <v>89</v>
      </c>
      <c r="B272" s="5" t="s">
        <v>68</v>
      </c>
      <c r="C272" s="5" t="s">
        <v>31</v>
      </c>
      <c r="D272" s="5" t="n">
        <v>2</v>
      </c>
      <c r="E272" s="5" t="n">
        <v>2</v>
      </c>
    </row>
    <row r="273" customFormat="false" ht="15" hidden="false" customHeight="false" outlineLevel="0" collapsed="false">
      <c r="A273" s="8" t="s">
        <v>90</v>
      </c>
      <c r="B273" s="8" t="s">
        <v>68</v>
      </c>
      <c r="C273" s="8" t="s">
        <v>31</v>
      </c>
      <c r="D273" s="8" t="n">
        <v>3</v>
      </c>
      <c r="E273" s="8" t="n">
        <v>2</v>
      </c>
    </row>
    <row r="274" customFormat="false" ht="15" hidden="false" customHeight="false" outlineLevel="0" collapsed="false">
      <c r="A274" s="5" t="s">
        <v>91</v>
      </c>
      <c r="B274" s="5" t="s">
        <v>68</v>
      </c>
      <c r="C274" s="5" t="s">
        <v>31</v>
      </c>
      <c r="D274" s="5" t="n">
        <v>4</v>
      </c>
      <c r="E274" s="5" t="n">
        <v>3</v>
      </c>
    </row>
    <row r="275" customFormat="false" ht="15" hidden="false" customHeight="false" outlineLevel="0" collapsed="false">
      <c r="A275" s="8" t="s">
        <v>92</v>
      </c>
      <c r="B275" s="8" t="s">
        <v>68</v>
      </c>
      <c r="C275" s="8" t="s">
        <v>31</v>
      </c>
      <c r="D275" s="8" t="n">
        <v>2</v>
      </c>
      <c r="E275" s="8" t="n">
        <v>2</v>
      </c>
    </row>
    <row r="276" customFormat="false" ht="15" hidden="false" customHeight="false" outlineLevel="0" collapsed="false">
      <c r="A276" s="5" t="s">
        <v>93</v>
      </c>
      <c r="B276" s="5" t="s">
        <v>68</v>
      </c>
      <c r="C276" s="5" t="s">
        <v>31</v>
      </c>
      <c r="D276" s="5" t="n">
        <v>3</v>
      </c>
      <c r="E276" s="5" t="n">
        <v>2</v>
      </c>
    </row>
    <row r="277" customFormat="false" ht="15" hidden="false" customHeight="false" outlineLevel="0" collapsed="false">
      <c r="A277" s="8" t="s">
        <v>67</v>
      </c>
      <c r="B277" s="8" t="s">
        <v>94</v>
      </c>
      <c r="C277" s="8" t="s">
        <v>31</v>
      </c>
      <c r="D277" s="8" t="n">
        <v>4</v>
      </c>
      <c r="E277" s="8" t="n">
        <v>3</v>
      </c>
    </row>
    <row r="278" customFormat="false" ht="15" hidden="false" customHeight="false" outlineLevel="0" collapsed="false">
      <c r="A278" s="5" t="s">
        <v>69</v>
      </c>
      <c r="B278" s="5" t="s">
        <v>94</v>
      </c>
      <c r="C278" s="5" t="s">
        <v>31</v>
      </c>
      <c r="D278" s="5" t="s">
        <v>70</v>
      </c>
      <c r="E278" s="5"/>
    </row>
    <row r="279" customFormat="false" ht="15" hidden="false" customHeight="false" outlineLevel="0" collapsed="false">
      <c r="A279" s="8" t="s">
        <v>71</v>
      </c>
      <c r="B279" s="8" t="s">
        <v>94</v>
      </c>
      <c r="C279" s="8" t="s">
        <v>31</v>
      </c>
      <c r="D279" s="8" t="s">
        <v>70</v>
      </c>
      <c r="E279" s="8"/>
    </row>
    <row r="280" customFormat="false" ht="15" hidden="false" customHeight="false" outlineLevel="0" collapsed="false">
      <c r="A280" s="5" t="s">
        <v>72</v>
      </c>
      <c r="B280" s="5" t="s">
        <v>94</v>
      </c>
      <c r="C280" s="5" t="s">
        <v>31</v>
      </c>
      <c r="D280" s="5" t="n">
        <v>3</v>
      </c>
      <c r="E280" s="5" t="n">
        <v>2</v>
      </c>
    </row>
    <row r="281" customFormat="false" ht="15" hidden="false" customHeight="false" outlineLevel="0" collapsed="false">
      <c r="A281" s="8" t="s">
        <v>73</v>
      </c>
      <c r="B281" s="8" t="s">
        <v>94</v>
      </c>
      <c r="C281" s="8" t="s">
        <v>31</v>
      </c>
      <c r="D281" s="8" t="s">
        <v>70</v>
      </c>
      <c r="E281" s="8"/>
    </row>
    <row r="282" customFormat="false" ht="15" hidden="false" customHeight="false" outlineLevel="0" collapsed="false">
      <c r="A282" s="5" t="s">
        <v>74</v>
      </c>
      <c r="B282" s="5" t="s">
        <v>94</v>
      </c>
      <c r="C282" s="5" t="s">
        <v>31</v>
      </c>
      <c r="D282" s="5" t="n">
        <v>3</v>
      </c>
      <c r="E282" s="5" t="n">
        <v>2</v>
      </c>
    </row>
    <row r="283" customFormat="false" ht="15" hidden="false" customHeight="false" outlineLevel="0" collapsed="false">
      <c r="A283" s="8" t="s">
        <v>75</v>
      </c>
      <c r="B283" s="8" t="s">
        <v>94</v>
      </c>
      <c r="C283" s="8" t="s">
        <v>31</v>
      </c>
      <c r="D283" s="8" t="n">
        <v>1</v>
      </c>
      <c r="E283" s="8" t="n">
        <v>1</v>
      </c>
    </row>
    <row r="284" customFormat="false" ht="15" hidden="false" customHeight="false" outlineLevel="0" collapsed="false">
      <c r="A284" s="5" t="s">
        <v>76</v>
      </c>
      <c r="B284" s="5" t="s">
        <v>94</v>
      </c>
      <c r="C284" s="5" t="s">
        <v>31</v>
      </c>
      <c r="D284" s="5" t="n">
        <v>2</v>
      </c>
      <c r="E284" s="5" t="n">
        <v>2</v>
      </c>
    </row>
    <row r="285" customFormat="false" ht="15" hidden="false" customHeight="false" outlineLevel="0" collapsed="false">
      <c r="A285" s="8" t="s">
        <v>77</v>
      </c>
      <c r="B285" s="8" t="s">
        <v>94</v>
      </c>
      <c r="C285" s="8" t="s">
        <v>31</v>
      </c>
      <c r="D285" s="8" t="s">
        <v>70</v>
      </c>
      <c r="E285" s="8"/>
    </row>
    <row r="286" customFormat="false" ht="15" hidden="false" customHeight="false" outlineLevel="0" collapsed="false">
      <c r="A286" s="5" t="s">
        <v>78</v>
      </c>
      <c r="B286" s="5" t="s">
        <v>94</v>
      </c>
      <c r="C286" s="5" t="s">
        <v>31</v>
      </c>
      <c r="D286" s="5" t="n">
        <v>3</v>
      </c>
      <c r="E286" s="5" t="n">
        <v>2</v>
      </c>
    </row>
    <row r="287" customFormat="false" ht="15" hidden="false" customHeight="false" outlineLevel="0" collapsed="false">
      <c r="A287" s="8" t="s">
        <v>79</v>
      </c>
      <c r="B287" s="8" t="s">
        <v>94</v>
      </c>
      <c r="C287" s="8" t="s">
        <v>31</v>
      </c>
      <c r="D287" s="8" t="n">
        <v>4</v>
      </c>
      <c r="E287" s="8" t="n">
        <v>3</v>
      </c>
    </row>
    <row r="288" customFormat="false" ht="15" hidden="false" customHeight="false" outlineLevel="0" collapsed="false">
      <c r="A288" s="5" t="s">
        <v>80</v>
      </c>
      <c r="B288" s="5" t="s">
        <v>94</v>
      </c>
      <c r="C288" s="5" t="s">
        <v>31</v>
      </c>
      <c r="D288" s="5" t="n">
        <v>2</v>
      </c>
      <c r="E288" s="5" t="n">
        <v>2</v>
      </c>
    </row>
    <row r="289" customFormat="false" ht="15" hidden="false" customHeight="false" outlineLevel="0" collapsed="false">
      <c r="A289" s="8" t="s">
        <v>81</v>
      </c>
      <c r="B289" s="8" t="s">
        <v>94</v>
      </c>
      <c r="C289" s="8" t="s">
        <v>31</v>
      </c>
      <c r="D289" s="8" t="n">
        <v>0</v>
      </c>
      <c r="E289" s="8" t="n">
        <v>1</v>
      </c>
    </row>
    <row r="290" customFormat="false" ht="15" hidden="false" customHeight="false" outlineLevel="0" collapsed="false">
      <c r="A290" s="5" t="s">
        <v>82</v>
      </c>
      <c r="B290" s="5" t="s">
        <v>94</v>
      </c>
      <c r="C290" s="5" t="s">
        <v>31</v>
      </c>
      <c r="D290" s="5" t="n">
        <v>2</v>
      </c>
      <c r="E290" s="5" t="n">
        <v>2</v>
      </c>
    </row>
    <row r="291" customFormat="false" ht="15" hidden="false" customHeight="false" outlineLevel="0" collapsed="false">
      <c r="A291" s="8" t="s">
        <v>83</v>
      </c>
      <c r="B291" s="8" t="s">
        <v>94</v>
      </c>
      <c r="C291" s="8" t="s">
        <v>31</v>
      </c>
      <c r="D291" s="8" t="n">
        <v>3</v>
      </c>
      <c r="E291" s="8" t="n">
        <v>2</v>
      </c>
    </row>
    <row r="292" customFormat="false" ht="15" hidden="false" customHeight="false" outlineLevel="0" collapsed="false">
      <c r="A292" s="5" t="s">
        <v>84</v>
      </c>
      <c r="B292" s="5" t="s">
        <v>94</v>
      </c>
      <c r="C292" s="5" t="s">
        <v>31</v>
      </c>
      <c r="D292" s="5" t="n">
        <v>1</v>
      </c>
      <c r="E292" s="5" t="n">
        <v>1</v>
      </c>
    </row>
    <row r="293" customFormat="false" ht="15" hidden="false" customHeight="false" outlineLevel="0" collapsed="false">
      <c r="A293" s="8" t="s">
        <v>85</v>
      </c>
      <c r="B293" s="8" t="s">
        <v>94</v>
      </c>
      <c r="C293" s="8" t="s">
        <v>31</v>
      </c>
      <c r="D293" s="8" t="n">
        <v>3</v>
      </c>
      <c r="E293" s="8" t="n">
        <v>2</v>
      </c>
    </row>
    <row r="294" customFormat="false" ht="15" hidden="false" customHeight="false" outlineLevel="0" collapsed="false">
      <c r="A294" s="5" t="s">
        <v>86</v>
      </c>
      <c r="B294" s="5" t="s">
        <v>94</v>
      </c>
      <c r="C294" s="5" t="s">
        <v>31</v>
      </c>
      <c r="D294" s="5" t="n">
        <v>2</v>
      </c>
      <c r="E294" s="5" t="n">
        <v>2</v>
      </c>
    </row>
    <row r="295" customFormat="false" ht="15" hidden="false" customHeight="false" outlineLevel="0" collapsed="false">
      <c r="A295" s="8" t="s">
        <v>87</v>
      </c>
      <c r="B295" s="8" t="s">
        <v>94</v>
      </c>
      <c r="C295" s="8" t="s">
        <v>31</v>
      </c>
      <c r="D295" s="8" t="n">
        <v>0</v>
      </c>
      <c r="E295" s="8" t="n">
        <v>1</v>
      </c>
    </row>
    <row r="296" customFormat="false" ht="15" hidden="false" customHeight="false" outlineLevel="0" collapsed="false">
      <c r="A296" s="5" t="s">
        <v>88</v>
      </c>
      <c r="B296" s="5" t="s">
        <v>94</v>
      </c>
      <c r="C296" s="5" t="s">
        <v>31</v>
      </c>
      <c r="D296" s="5" t="n">
        <v>1</v>
      </c>
      <c r="E296" s="5" t="n">
        <v>1</v>
      </c>
    </row>
    <row r="297" customFormat="false" ht="15" hidden="false" customHeight="false" outlineLevel="0" collapsed="false">
      <c r="A297" s="8" t="s">
        <v>89</v>
      </c>
      <c r="B297" s="8" t="s">
        <v>94</v>
      </c>
      <c r="C297" s="8" t="s">
        <v>31</v>
      </c>
      <c r="D297" s="8" t="n">
        <v>5</v>
      </c>
      <c r="E297" s="8" t="n">
        <v>4</v>
      </c>
    </row>
    <row r="298" customFormat="false" ht="15" hidden="false" customHeight="false" outlineLevel="0" collapsed="false">
      <c r="A298" s="5" t="s">
        <v>90</v>
      </c>
      <c r="B298" s="5" t="s">
        <v>94</v>
      </c>
      <c r="C298" s="5" t="s">
        <v>31</v>
      </c>
      <c r="D298" s="5" t="n">
        <v>1</v>
      </c>
      <c r="E298" s="5" t="n">
        <v>1</v>
      </c>
    </row>
    <row r="299" customFormat="false" ht="15" hidden="false" customHeight="false" outlineLevel="0" collapsed="false">
      <c r="A299" s="8" t="s">
        <v>91</v>
      </c>
      <c r="B299" s="8" t="s">
        <v>94</v>
      </c>
      <c r="C299" s="8" t="s">
        <v>31</v>
      </c>
      <c r="D299" s="8" t="n">
        <v>0</v>
      </c>
      <c r="E299" s="8" t="n">
        <v>1</v>
      </c>
    </row>
    <row r="300" customFormat="false" ht="15" hidden="false" customHeight="false" outlineLevel="0" collapsed="false">
      <c r="A300" s="5" t="s">
        <v>92</v>
      </c>
      <c r="B300" s="5" t="s">
        <v>94</v>
      </c>
      <c r="C300" s="5" t="s">
        <v>31</v>
      </c>
      <c r="D300" s="5" t="n">
        <v>4</v>
      </c>
      <c r="E300" s="5" t="n">
        <v>3</v>
      </c>
    </row>
    <row r="301" customFormat="false" ht="15" hidden="false" customHeight="false" outlineLevel="0" collapsed="false">
      <c r="A301" s="8" t="s">
        <v>93</v>
      </c>
      <c r="B301" s="8" t="s">
        <v>94</v>
      </c>
      <c r="C301" s="8" t="s">
        <v>31</v>
      </c>
      <c r="D301" s="8" t="n">
        <v>2</v>
      </c>
      <c r="E301" s="8" t="n">
        <v>2</v>
      </c>
    </row>
    <row r="302" customFormat="false" ht="15" hidden="false" customHeight="false" outlineLevel="0" collapsed="false">
      <c r="A302" s="5" t="s">
        <v>67</v>
      </c>
      <c r="B302" s="5" t="s">
        <v>68</v>
      </c>
      <c r="C302" s="5" t="s">
        <v>33</v>
      </c>
      <c r="D302" s="5" t="n">
        <v>2</v>
      </c>
      <c r="E302" s="5" t="n">
        <v>2</v>
      </c>
    </row>
    <row r="303" customFormat="false" ht="15" hidden="false" customHeight="false" outlineLevel="0" collapsed="false">
      <c r="A303" s="8" t="s">
        <v>69</v>
      </c>
      <c r="B303" s="8" t="s">
        <v>68</v>
      </c>
      <c r="C303" s="8" t="s">
        <v>33</v>
      </c>
      <c r="D303" s="8" t="n">
        <v>3</v>
      </c>
      <c r="E303" s="8" t="n">
        <v>2</v>
      </c>
    </row>
    <row r="304" customFormat="false" ht="15" hidden="false" customHeight="false" outlineLevel="0" collapsed="false">
      <c r="A304" s="5" t="s">
        <v>71</v>
      </c>
      <c r="B304" s="5" t="s">
        <v>68</v>
      </c>
      <c r="C304" s="5" t="s">
        <v>33</v>
      </c>
      <c r="D304" s="5" t="n">
        <v>2</v>
      </c>
      <c r="E304" s="5" t="n">
        <v>2</v>
      </c>
    </row>
    <row r="305" customFormat="false" ht="15" hidden="false" customHeight="false" outlineLevel="0" collapsed="false">
      <c r="A305" s="8" t="s">
        <v>72</v>
      </c>
      <c r="B305" s="8" t="s">
        <v>68</v>
      </c>
      <c r="C305" s="8" t="s">
        <v>33</v>
      </c>
      <c r="D305" s="8" t="n">
        <v>3</v>
      </c>
      <c r="E305" s="8" t="n">
        <v>2</v>
      </c>
    </row>
    <row r="306" customFormat="false" ht="15" hidden="false" customHeight="false" outlineLevel="0" collapsed="false">
      <c r="A306" s="5" t="s">
        <v>73</v>
      </c>
      <c r="B306" s="5" t="s">
        <v>68</v>
      </c>
      <c r="C306" s="5" t="s">
        <v>33</v>
      </c>
      <c r="D306" s="5" t="n">
        <v>2</v>
      </c>
      <c r="E306" s="5" t="n">
        <v>2</v>
      </c>
    </row>
    <row r="307" customFormat="false" ht="15" hidden="false" customHeight="false" outlineLevel="0" collapsed="false">
      <c r="A307" s="8" t="s">
        <v>74</v>
      </c>
      <c r="B307" s="8" t="s">
        <v>68</v>
      </c>
      <c r="C307" s="8" t="s">
        <v>33</v>
      </c>
      <c r="D307" s="8" t="n">
        <v>3</v>
      </c>
      <c r="E307" s="8" t="n">
        <v>2</v>
      </c>
    </row>
    <row r="308" customFormat="false" ht="15" hidden="false" customHeight="false" outlineLevel="0" collapsed="false">
      <c r="A308" s="5" t="s">
        <v>75</v>
      </c>
      <c r="B308" s="5" t="s">
        <v>68</v>
      </c>
      <c r="C308" s="5" t="s">
        <v>33</v>
      </c>
      <c r="D308" s="5" t="n">
        <v>4</v>
      </c>
      <c r="E308" s="5" t="n">
        <v>3</v>
      </c>
    </row>
    <row r="309" customFormat="false" ht="15" hidden="false" customHeight="false" outlineLevel="0" collapsed="false">
      <c r="A309" s="8" t="s">
        <v>76</v>
      </c>
      <c r="B309" s="8" t="s">
        <v>68</v>
      </c>
      <c r="C309" s="8" t="s">
        <v>33</v>
      </c>
      <c r="D309" s="8" t="n">
        <v>3</v>
      </c>
      <c r="E309" s="8" t="n">
        <v>2</v>
      </c>
    </row>
    <row r="310" customFormat="false" ht="15" hidden="false" customHeight="false" outlineLevel="0" collapsed="false">
      <c r="A310" s="5" t="s">
        <v>77</v>
      </c>
      <c r="B310" s="5" t="s">
        <v>68</v>
      </c>
      <c r="C310" s="5" t="s">
        <v>33</v>
      </c>
      <c r="D310" s="5" t="s">
        <v>70</v>
      </c>
      <c r="E310" s="5"/>
    </row>
    <row r="311" customFormat="false" ht="15" hidden="false" customHeight="false" outlineLevel="0" collapsed="false">
      <c r="A311" s="8" t="s">
        <v>78</v>
      </c>
      <c r="B311" s="8" t="s">
        <v>68</v>
      </c>
      <c r="C311" s="8" t="s">
        <v>33</v>
      </c>
      <c r="D311" s="8" t="n">
        <v>2</v>
      </c>
      <c r="E311" s="8" t="n">
        <v>2</v>
      </c>
    </row>
    <row r="312" customFormat="false" ht="15" hidden="false" customHeight="false" outlineLevel="0" collapsed="false">
      <c r="A312" s="5" t="s">
        <v>79</v>
      </c>
      <c r="B312" s="5" t="s">
        <v>68</v>
      </c>
      <c r="C312" s="5" t="s">
        <v>33</v>
      </c>
      <c r="D312" s="5" t="n">
        <v>2</v>
      </c>
      <c r="E312" s="5" t="n">
        <v>2</v>
      </c>
    </row>
    <row r="313" customFormat="false" ht="15" hidden="false" customHeight="false" outlineLevel="0" collapsed="false">
      <c r="A313" s="8" t="s">
        <v>80</v>
      </c>
      <c r="B313" s="8" t="s">
        <v>68</v>
      </c>
      <c r="C313" s="8" t="s">
        <v>33</v>
      </c>
      <c r="D313" s="8" t="n">
        <v>1</v>
      </c>
      <c r="E313" s="8" t="n">
        <v>1</v>
      </c>
    </row>
    <row r="314" customFormat="false" ht="15" hidden="false" customHeight="false" outlineLevel="0" collapsed="false">
      <c r="A314" s="5" t="s">
        <v>81</v>
      </c>
      <c r="B314" s="5" t="s">
        <v>68</v>
      </c>
      <c r="C314" s="5" t="s">
        <v>33</v>
      </c>
      <c r="D314" s="5" t="n">
        <v>2</v>
      </c>
      <c r="E314" s="5" t="n">
        <v>2</v>
      </c>
    </row>
    <row r="315" customFormat="false" ht="15" hidden="false" customHeight="false" outlineLevel="0" collapsed="false">
      <c r="A315" s="8" t="s">
        <v>82</v>
      </c>
      <c r="B315" s="8" t="s">
        <v>68</v>
      </c>
      <c r="C315" s="8" t="s">
        <v>33</v>
      </c>
      <c r="D315" s="8" t="n">
        <v>4</v>
      </c>
      <c r="E315" s="8" t="n">
        <v>3</v>
      </c>
    </row>
    <row r="316" customFormat="false" ht="15" hidden="false" customHeight="false" outlineLevel="0" collapsed="false">
      <c r="A316" s="5" t="s">
        <v>83</v>
      </c>
      <c r="B316" s="5" t="s">
        <v>68</v>
      </c>
      <c r="C316" s="5" t="s">
        <v>33</v>
      </c>
      <c r="D316" s="5" t="s">
        <v>70</v>
      </c>
      <c r="E316" s="5"/>
    </row>
    <row r="317" customFormat="false" ht="15" hidden="false" customHeight="false" outlineLevel="0" collapsed="false">
      <c r="A317" s="8" t="s">
        <v>84</v>
      </c>
      <c r="B317" s="8" t="s">
        <v>68</v>
      </c>
      <c r="C317" s="8" t="s">
        <v>33</v>
      </c>
      <c r="D317" s="8" t="n">
        <v>2</v>
      </c>
      <c r="E317" s="8" t="n">
        <v>2</v>
      </c>
    </row>
    <row r="318" customFormat="false" ht="15" hidden="false" customHeight="false" outlineLevel="0" collapsed="false">
      <c r="A318" s="5" t="s">
        <v>85</v>
      </c>
      <c r="B318" s="5" t="s">
        <v>68</v>
      </c>
      <c r="C318" s="5" t="s">
        <v>33</v>
      </c>
      <c r="D318" s="5" t="n">
        <v>1</v>
      </c>
      <c r="E318" s="5" t="n">
        <v>1</v>
      </c>
    </row>
    <row r="319" customFormat="false" ht="15" hidden="false" customHeight="false" outlineLevel="0" collapsed="false">
      <c r="A319" s="8" t="s">
        <v>86</v>
      </c>
      <c r="B319" s="8" t="s">
        <v>68</v>
      </c>
      <c r="C319" s="8" t="s">
        <v>33</v>
      </c>
      <c r="D319" s="8" t="n">
        <v>1</v>
      </c>
      <c r="E319" s="8" t="n">
        <v>1</v>
      </c>
    </row>
    <row r="320" customFormat="false" ht="15" hidden="false" customHeight="false" outlineLevel="0" collapsed="false">
      <c r="A320" s="5" t="s">
        <v>87</v>
      </c>
      <c r="B320" s="5" t="s">
        <v>68</v>
      </c>
      <c r="C320" s="5" t="s">
        <v>33</v>
      </c>
      <c r="D320" s="5" t="s">
        <v>70</v>
      </c>
      <c r="E320" s="5"/>
    </row>
    <row r="321" customFormat="false" ht="15" hidden="false" customHeight="false" outlineLevel="0" collapsed="false">
      <c r="A321" s="8" t="s">
        <v>88</v>
      </c>
      <c r="B321" s="8" t="s">
        <v>68</v>
      </c>
      <c r="C321" s="8" t="s">
        <v>33</v>
      </c>
      <c r="D321" s="8" t="n">
        <v>3</v>
      </c>
      <c r="E321" s="8" t="n">
        <v>2</v>
      </c>
    </row>
    <row r="322" customFormat="false" ht="15" hidden="false" customHeight="false" outlineLevel="0" collapsed="false">
      <c r="A322" s="5" t="s">
        <v>89</v>
      </c>
      <c r="B322" s="5" t="s">
        <v>68</v>
      </c>
      <c r="C322" s="5" t="s">
        <v>33</v>
      </c>
      <c r="D322" s="5" t="n">
        <v>4</v>
      </c>
      <c r="E322" s="5" t="n">
        <v>3</v>
      </c>
    </row>
    <row r="323" customFormat="false" ht="15" hidden="false" customHeight="false" outlineLevel="0" collapsed="false">
      <c r="A323" s="8" t="s">
        <v>90</v>
      </c>
      <c r="B323" s="8" t="s">
        <v>68</v>
      </c>
      <c r="C323" s="8" t="s">
        <v>33</v>
      </c>
      <c r="D323" s="8" t="n">
        <v>2</v>
      </c>
      <c r="E323" s="8" t="n">
        <v>2</v>
      </c>
    </row>
    <row r="324" customFormat="false" ht="15" hidden="false" customHeight="false" outlineLevel="0" collapsed="false">
      <c r="A324" s="5" t="s">
        <v>91</v>
      </c>
      <c r="B324" s="5" t="s">
        <v>68</v>
      </c>
      <c r="C324" s="5" t="s">
        <v>33</v>
      </c>
      <c r="D324" s="5" t="n">
        <v>5</v>
      </c>
      <c r="E324" s="5" t="n">
        <v>4</v>
      </c>
    </row>
    <row r="325" customFormat="false" ht="15" hidden="false" customHeight="false" outlineLevel="0" collapsed="false">
      <c r="A325" s="8" t="s">
        <v>92</v>
      </c>
      <c r="B325" s="8" t="s">
        <v>68</v>
      </c>
      <c r="C325" s="8" t="s">
        <v>33</v>
      </c>
      <c r="D325" s="8" t="n">
        <v>2</v>
      </c>
      <c r="E325" s="8" t="n">
        <v>2</v>
      </c>
    </row>
    <row r="326" customFormat="false" ht="15" hidden="false" customHeight="false" outlineLevel="0" collapsed="false">
      <c r="A326" s="5" t="s">
        <v>93</v>
      </c>
      <c r="B326" s="5" t="s">
        <v>68</v>
      </c>
      <c r="C326" s="5" t="s">
        <v>33</v>
      </c>
      <c r="D326" s="5" t="n">
        <v>3</v>
      </c>
      <c r="E326" s="5" t="n">
        <v>2</v>
      </c>
    </row>
    <row r="327" customFormat="false" ht="15" hidden="false" customHeight="false" outlineLevel="0" collapsed="false">
      <c r="A327" s="8" t="s">
        <v>67</v>
      </c>
      <c r="B327" s="8" t="s">
        <v>94</v>
      </c>
      <c r="C327" s="8" t="s">
        <v>33</v>
      </c>
      <c r="D327" s="8" t="n">
        <v>4</v>
      </c>
      <c r="E327" s="8" t="n">
        <v>3</v>
      </c>
    </row>
    <row r="328" customFormat="false" ht="15" hidden="false" customHeight="false" outlineLevel="0" collapsed="false">
      <c r="A328" s="5" t="s">
        <v>69</v>
      </c>
      <c r="B328" s="5" t="s">
        <v>94</v>
      </c>
      <c r="C328" s="5" t="s">
        <v>33</v>
      </c>
      <c r="D328" s="5" t="n">
        <v>2</v>
      </c>
      <c r="E328" s="5" t="n">
        <v>2</v>
      </c>
    </row>
    <row r="329" customFormat="false" ht="15" hidden="false" customHeight="false" outlineLevel="0" collapsed="false">
      <c r="A329" s="8" t="s">
        <v>71</v>
      </c>
      <c r="B329" s="8" t="s">
        <v>94</v>
      </c>
      <c r="C329" s="8" t="s">
        <v>33</v>
      </c>
      <c r="D329" s="8" t="n">
        <v>5</v>
      </c>
      <c r="E329" s="8" t="n">
        <v>4</v>
      </c>
    </row>
    <row r="330" customFormat="false" ht="15" hidden="false" customHeight="false" outlineLevel="0" collapsed="false">
      <c r="A330" s="5" t="s">
        <v>72</v>
      </c>
      <c r="B330" s="5" t="s">
        <v>94</v>
      </c>
      <c r="C330" s="5" t="s">
        <v>33</v>
      </c>
      <c r="D330" s="5" t="n">
        <v>3</v>
      </c>
      <c r="E330" s="5" t="n">
        <v>2</v>
      </c>
    </row>
    <row r="331" customFormat="false" ht="15" hidden="false" customHeight="false" outlineLevel="0" collapsed="false">
      <c r="A331" s="8" t="s">
        <v>73</v>
      </c>
      <c r="B331" s="8" t="s">
        <v>94</v>
      </c>
      <c r="C331" s="8" t="s">
        <v>33</v>
      </c>
      <c r="D331" s="8" t="n">
        <v>4</v>
      </c>
      <c r="E331" s="8" t="n">
        <v>3</v>
      </c>
    </row>
    <row r="332" customFormat="false" ht="15" hidden="false" customHeight="false" outlineLevel="0" collapsed="false">
      <c r="A332" s="5" t="s">
        <v>74</v>
      </c>
      <c r="B332" s="5" t="s">
        <v>94</v>
      </c>
      <c r="C332" s="5" t="s">
        <v>33</v>
      </c>
      <c r="D332" s="5" t="n">
        <v>2</v>
      </c>
      <c r="E332" s="5" t="n">
        <v>2</v>
      </c>
    </row>
    <row r="333" customFormat="false" ht="15" hidden="false" customHeight="false" outlineLevel="0" collapsed="false">
      <c r="A333" s="8" t="s">
        <v>75</v>
      </c>
      <c r="B333" s="8" t="s">
        <v>94</v>
      </c>
      <c r="C333" s="8" t="s">
        <v>33</v>
      </c>
      <c r="D333" s="8" t="n">
        <v>2</v>
      </c>
      <c r="E333" s="8" t="n">
        <v>2</v>
      </c>
    </row>
    <row r="334" customFormat="false" ht="15" hidden="false" customHeight="false" outlineLevel="0" collapsed="false">
      <c r="A334" s="5" t="s">
        <v>76</v>
      </c>
      <c r="B334" s="5" t="s">
        <v>94</v>
      </c>
      <c r="C334" s="5" t="s">
        <v>33</v>
      </c>
      <c r="D334" s="5" t="n">
        <v>3</v>
      </c>
      <c r="E334" s="5" t="n">
        <v>2</v>
      </c>
    </row>
    <row r="335" customFormat="false" ht="15" hidden="false" customHeight="false" outlineLevel="0" collapsed="false">
      <c r="A335" s="8" t="s">
        <v>77</v>
      </c>
      <c r="B335" s="8" t="s">
        <v>94</v>
      </c>
      <c r="C335" s="8" t="s">
        <v>33</v>
      </c>
      <c r="D335" s="8" t="s">
        <v>70</v>
      </c>
      <c r="E335" s="8"/>
    </row>
    <row r="336" customFormat="false" ht="15" hidden="false" customHeight="false" outlineLevel="0" collapsed="false">
      <c r="A336" s="5" t="s">
        <v>78</v>
      </c>
      <c r="B336" s="5" t="s">
        <v>94</v>
      </c>
      <c r="C336" s="5" t="s">
        <v>33</v>
      </c>
      <c r="D336" s="5" t="n">
        <v>3</v>
      </c>
      <c r="E336" s="5" t="n">
        <v>2</v>
      </c>
    </row>
    <row r="337" customFormat="false" ht="15" hidden="false" customHeight="false" outlineLevel="0" collapsed="false">
      <c r="A337" s="8" t="s">
        <v>79</v>
      </c>
      <c r="B337" s="8" t="s">
        <v>94</v>
      </c>
      <c r="C337" s="8" t="s">
        <v>33</v>
      </c>
      <c r="D337" s="8" t="n">
        <v>3</v>
      </c>
      <c r="E337" s="8" t="n">
        <v>2</v>
      </c>
    </row>
    <row r="338" customFormat="false" ht="15" hidden="false" customHeight="false" outlineLevel="0" collapsed="false">
      <c r="A338" s="5" t="s">
        <v>80</v>
      </c>
      <c r="B338" s="5" t="s">
        <v>94</v>
      </c>
      <c r="C338" s="5" t="s">
        <v>33</v>
      </c>
      <c r="D338" s="5" t="n">
        <v>0</v>
      </c>
      <c r="E338" s="5" t="n">
        <v>1</v>
      </c>
    </row>
    <row r="339" customFormat="false" ht="15" hidden="false" customHeight="false" outlineLevel="0" collapsed="false">
      <c r="A339" s="8" t="s">
        <v>81</v>
      </c>
      <c r="B339" s="8" t="s">
        <v>94</v>
      </c>
      <c r="C339" s="8" t="s">
        <v>33</v>
      </c>
      <c r="D339" s="8" t="s">
        <v>70</v>
      </c>
      <c r="E339" s="8"/>
    </row>
    <row r="340" customFormat="false" ht="15" hidden="false" customHeight="false" outlineLevel="0" collapsed="false">
      <c r="A340" s="5" t="s">
        <v>82</v>
      </c>
      <c r="B340" s="5" t="s">
        <v>94</v>
      </c>
      <c r="C340" s="5" t="s">
        <v>33</v>
      </c>
      <c r="D340" s="5" t="n">
        <v>4</v>
      </c>
      <c r="E340" s="5" t="n">
        <v>3</v>
      </c>
    </row>
    <row r="341" customFormat="false" ht="15" hidden="false" customHeight="false" outlineLevel="0" collapsed="false">
      <c r="A341" s="8" t="s">
        <v>83</v>
      </c>
      <c r="B341" s="8" t="s">
        <v>94</v>
      </c>
      <c r="C341" s="8" t="s">
        <v>33</v>
      </c>
      <c r="D341" s="8" t="s">
        <v>70</v>
      </c>
      <c r="E341" s="8"/>
    </row>
    <row r="342" customFormat="false" ht="15" hidden="false" customHeight="false" outlineLevel="0" collapsed="false">
      <c r="A342" s="5" t="s">
        <v>84</v>
      </c>
      <c r="B342" s="5" t="s">
        <v>94</v>
      </c>
      <c r="C342" s="5" t="s">
        <v>33</v>
      </c>
      <c r="D342" s="5" t="n">
        <v>2</v>
      </c>
      <c r="E342" s="5" t="n">
        <v>2</v>
      </c>
    </row>
    <row r="343" customFormat="false" ht="15" hidden="false" customHeight="false" outlineLevel="0" collapsed="false">
      <c r="A343" s="8" t="s">
        <v>85</v>
      </c>
      <c r="B343" s="8" t="s">
        <v>94</v>
      </c>
      <c r="C343" s="8" t="s">
        <v>33</v>
      </c>
      <c r="D343" s="8" t="n">
        <v>2</v>
      </c>
      <c r="E343" s="8" t="n">
        <v>2</v>
      </c>
    </row>
    <row r="344" customFormat="false" ht="15" hidden="false" customHeight="false" outlineLevel="0" collapsed="false">
      <c r="A344" s="5" t="s">
        <v>86</v>
      </c>
      <c r="B344" s="5" t="s">
        <v>94</v>
      </c>
      <c r="C344" s="5" t="s">
        <v>33</v>
      </c>
      <c r="D344" s="5" t="n">
        <v>5</v>
      </c>
      <c r="E344" s="5" t="n">
        <v>4</v>
      </c>
    </row>
    <row r="345" customFormat="false" ht="15" hidden="false" customHeight="false" outlineLevel="0" collapsed="false">
      <c r="A345" s="8" t="s">
        <v>87</v>
      </c>
      <c r="B345" s="8" t="s">
        <v>94</v>
      </c>
      <c r="C345" s="8" t="s">
        <v>33</v>
      </c>
      <c r="D345" s="8" t="n">
        <v>1</v>
      </c>
      <c r="E345" s="8" t="n">
        <v>1</v>
      </c>
    </row>
    <row r="346" customFormat="false" ht="15" hidden="false" customHeight="false" outlineLevel="0" collapsed="false">
      <c r="A346" s="5" t="s">
        <v>88</v>
      </c>
      <c r="B346" s="5" t="s">
        <v>94</v>
      </c>
      <c r="C346" s="5" t="s">
        <v>33</v>
      </c>
      <c r="D346" s="5" t="n">
        <v>2</v>
      </c>
      <c r="E346" s="5" t="n">
        <v>2</v>
      </c>
    </row>
    <row r="347" customFormat="false" ht="15" hidden="false" customHeight="false" outlineLevel="0" collapsed="false">
      <c r="A347" s="8" t="s">
        <v>89</v>
      </c>
      <c r="B347" s="8" t="s">
        <v>94</v>
      </c>
      <c r="C347" s="8" t="s">
        <v>33</v>
      </c>
      <c r="D347" s="8" t="n">
        <v>3</v>
      </c>
      <c r="E347" s="8" t="n">
        <v>2</v>
      </c>
    </row>
    <row r="348" customFormat="false" ht="15" hidden="false" customHeight="false" outlineLevel="0" collapsed="false">
      <c r="A348" s="5" t="s">
        <v>90</v>
      </c>
      <c r="B348" s="5" t="s">
        <v>94</v>
      </c>
      <c r="C348" s="5" t="s">
        <v>33</v>
      </c>
      <c r="D348" s="5" t="n">
        <v>0</v>
      </c>
      <c r="E348" s="5" t="n">
        <v>1</v>
      </c>
    </row>
    <row r="349" customFormat="false" ht="15" hidden="false" customHeight="false" outlineLevel="0" collapsed="false">
      <c r="A349" s="8" t="s">
        <v>91</v>
      </c>
      <c r="B349" s="8" t="s">
        <v>94</v>
      </c>
      <c r="C349" s="8" t="s">
        <v>33</v>
      </c>
      <c r="D349" s="8" t="n">
        <v>2</v>
      </c>
      <c r="E349" s="8" t="n">
        <v>2</v>
      </c>
    </row>
    <row r="350" customFormat="false" ht="15" hidden="false" customHeight="false" outlineLevel="0" collapsed="false">
      <c r="A350" s="5" t="s">
        <v>92</v>
      </c>
      <c r="B350" s="5" t="s">
        <v>94</v>
      </c>
      <c r="C350" s="5" t="s">
        <v>33</v>
      </c>
      <c r="D350" s="5" t="n">
        <v>3</v>
      </c>
      <c r="E350" s="5" t="n">
        <v>2</v>
      </c>
    </row>
    <row r="351" customFormat="false" ht="15" hidden="false" customHeight="false" outlineLevel="0" collapsed="false">
      <c r="A351" s="8" t="s">
        <v>93</v>
      </c>
      <c r="B351" s="8" t="s">
        <v>94</v>
      </c>
      <c r="C351" s="8" t="s">
        <v>33</v>
      </c>
      <c r="D351" s="8" t="n">
        <v>2</v>
      </c>
      <c r="E351" s="8" t="n">
        <v>2</v>
      </c>
    </row>
    <row r="352" customFormat="false" ht="15" hidden="false" customHeight="false" outlineLevel="0" collapsed="false">
      <c r="A352" s="5" t="s">
        <v>67</v>
      </c>
      <c r="B352" s="5" t="s">
        <v>68</v>
      </c>
      <c r="C352" s="5" t="s">
        <v>36</v>
      </c>
      <c r="D352" s="5" t="n">
        <v>1</v>
      </c>
      <c r="E352" s="5" t="n">
        <v>1</v>
      </c>
    </row>
    <row r="353" customFormat="false" ht="15" hidden="false" customHeight="false" outlineLevel="0" collapsed="false">
      <c r="A353" s="8" t="s">
        <v>69</v>
      </c>
      <c r="B353" s="8" t="s">
        <v>68</v>
      </c>
      <c r="C353" s="8" t="s">
        <v>36</v>
      </c>
      <c r="D353" s="8" t="n">
        <v>4</v>
      </c>
      <c r="E353" s="8" t="n">
        <v>3</v>
      </c>
    </row>
    <row r="354" customFormat="false" ht="15" hidden="false" customHeight="false" outlineLevel="0" collapsed="false">
      <c r="A354" s="5" t="s">
        <v>71</v>
      </c>
      <c r="B354" s="5" t="s">
        <v>68</v>
      </c>
      <c r="C354" s="5" t="s">
        <v>36</v>
      </c>
      <c r="D354" s="5" t="n">
        <v>4</v>
      </c>
      <c r="E354" s="5" t="n">
        <v>3</v>
      </c>
    </row>
    <row r="355" customFormat="false" ht="15" hidden="false" customHeight="false" outlineLevel="0" collapsed="false">
      <c r="A355" s="8" t="s">
        <v>72</v>
      </c>
      <c r="B355" s="8" t="s">
        <v>68</v>
      </c>
      <c r="C355" s="8" t="s">
        <v>36</v>
      </c>
      <c r="D355" s="8" t="n">
        <v>3</v>
      </c>
      <c r="E355" s="8" t="n">
        <v>2</v>
      </c>
    </row>
    <row r="356" customFormat="false" ht="15" hidden="false" customHeight="false" outlineLevel="0" collapsed="false">
      <c r="A356" s="5" t="s">
        <v>73</v>
      </c>
      <c r="B356" s="5" t="s">
        <v>68</v>
      </c>
      <c r="C356" s="5" t="s">
        <v>36</v>
      </c>
      <c r="D356" s="5" t="n">
        <v>4</v>
      </c>
      <c r="E356" s="5" t="n">
        <v>3</v>
      </c>
    </row>
    <row r="357" customFormat="false" ht="15" hidden="false" customHeight="false" outlineLevel="0" collapsed="false">
      <c r="A357" s="8" t="s">
        <v>74</v>
      </c>
      <c r="B357" s="8" t="s">
        <v>68</v>
      </c>
      <c r="C357" s="8" t="s">
        <v>36</v>
      </c>
      <c r="D357" s="8" t="n">
        <v>4</v>
      </c>
      <c r="E357" s="8" t="n">
        <v>3</v>
      </c>
    </row>
    <row r="358" customFormat="false" ht="15" hidden="false" customHeight="false" outlineLevel="0" collapsed="false">
      <c r="A358" s="5" t="s">
        <v>75</v>
      </c>
      <c r="B358" s="5" t="s">
        <v>68</v>
      </c>
      <c r="C358" s="5" t="s">
        <v>36</v>
      </c>
      <c r="D358" s="5" t="n">
        <v>5</v>
      </c>
      <c r="E358" s="5" t="n">
        <v>4</v>
      </c>
    </row>
    <row r="359" customFormat="false" ht="15" hidden="false" customHeight="false" outlineLevel="0" collapsed="false">
      <c r="A359" s="8" t="s">
        <v>76</v>
      </c>
      <c r="B359" s="8" t="s">
        <v>68</v>
      </c>
      <c r="C359" s="8" t="s">
        <v>36</v>
      </c>
      <c r="D359" s="8" t="n">
        <v>5</v>
      </c>
      <c r="E359" s="8" t="n">
        <v>4</v>
      </c>
    </row>
    <row r="360" customFormat="false" ht="15" hidden="false" customHeight="false" outlineLevel="0" collapsed="false">
      <c r="A360" s="5" t="s">
        <v>77</v>
      </c>
      <c r="B360" s="5" t="s">
        <v>68</v>
      </c>
      <c r="C360" s="5" t="s">
        <v>36</v>
      </c>
      <c r="D360" s="5" t="n">
        <v>4</v>
      </c>
      <c r="E360" s="5" t="n">
        <v>3</v>
      </c>
    </row>
    <row r="361" customFormat="false" ht="15" hidden="false" customHeight="false" outlineLevel="0" collapsed="false">
      <c r="A361" s="8" t="s">
        <v>78</v>
      </c>
      <c r="B361" s="8" t="s">
        <v>68</v>
      </c>
      <c r="C361" s="8" t="s">
        <v>36</v>
      </c>
      <c r="D361" s="8" t="n">
        <v>4</v>
      </c>
      <c r="E361" s="8" t="n">
        <v>3</v>
      </c>
    </row>
    <row r="362" customFormat="false" ht="15" hidden="false" customHeight="false" outlineLevel="0" collapsed="false">
      <c r="A362" s="5" t="s">
        <v>79</v>
      </c>
      <c r="B362" s="5" t="s">
        <v>68</v>
      </c>
      <c r="C362" s="5" t="s">
        <v>36</v>
      </c>
      <c r="D362" s="5" t="n">
        <v>4</v>
      </c>
      <c r="E362" s="5" t="n">
        <v>3</v>
      </c>
    </row>
    <row r="363" customFormat="false" ht="15" hidden="false" customHeight="false" outlineLevel="0" collapsed="false">
      <c r="A363" s="8" t="s">
        <v>80</v>
      </c>
      <c r="B363" s="8" t="s">
        <v>68</v>
      </c>
      <c r="C363" s="8" t="s">
        <v>36</v>
      </c>
      <c r="D363" s="8" t="n">
        <v>3</v>
      </c>
      <c r="E363" s="8" t="n">
        <v>2</v>
      </c>
    </row>
    <row r="364" customFormat="false" ht="15" hidden="false" customHeight="false" outlineLevel="0" collapsed="false">
      <c r="A364" s="5" t="s">
        <v>81</v>
      </c>
      <c r="B364" s="5" t="s">
        <v>68</v>
      </c>
      <c r="C364" s="5" t="s">
        <v>36</v>
      </c>
      <c r="D364" s="5" t="n">
        <v>1</v>
      </c>
      <c r="E364" s="5" t="n">
        <v>1</v>
      </c>
    </row>
    <row r="365" customFormat="false" ht="15" hidden="false" customHeight="false" outlineLevel="0" collapsed="false">
      <c r="A365" s="8" t="s">
        <v>82</v>
      </c>
      <c r="B365" s="8" t="s">
        <v>68</v>
      </c>
      <c r="C365" s="8" t="s">
        <v>36</v>
      </c>
      <c r="D365" s="8" t="n">
        <v>4</v>
      </c>
      <c r="E365" s="8" t="n">
        <v>3</v>
      </c>
    </row>
    <row r="366" customFormat="false" ht="15" hidden="false" customHeight="false" outlineLevel="0" collapsed="false">
      <c r="A366" s="5" t="s">
        <v>83</v>
      </c>
      <c r="B366" s="5" t="s">
        <v>68</v>
      </c>
      <c r="C366" s="5" t="s">
        <v>36</v>
      </c>
      <c r="D366" s="5" t="n">
        <v>2</v>
      </c>
      <c r="E366" s="5" t="n">
        <v>2</v>
      </c>
    </row>
    <row r="367" customFormat="false" ht="15" hidden="false" customHeight="false" outlineLevel="0" collapsed="false">
      <c r="A367" s="8" t="s">
        <v>84</v>
      </c>
      <c r="B367" s="8" t="s">
        <v>68</v>
      </c>
      <c r="C367" s="8" t="s">
        <v>36</v>
      </c>
      <c r="D367" s="8" t="s">
        <v>70</v>
      </c>
      <c r="E367" s="8"/>
    </row>
    <row r="368" customFormat="false" ht="15" hidden="false" customHeight="false" outlineLevel="0" collapsed="false">
      <c r="A368" s="5" t="s">
        <v>85</v>
      </c>
      <c r="B368" s="5" t="s">
        <v>68</v>
      </c>
      <c r="C368" s="5" t="s">
        <v>36</v>
      </c>
      <c r="D368" s="5" t="n">
        <v>0</v>
      </c>
      <c r="E368" s="5" t="n">
        <v>1</v>
      </c>
    </row>
    <row r="369" customFormat="false" ht="15" hidden="false" customHeight="false" outlineLevel="0" collapsed="false">
      <c r="A369" s="8" t="s">
        <v>86</v>
      </c>
      <c r="B369" s="8" t="s">
        <v>68</v>
      </c>
      <c r="C369" s="8" t="s">
        <v>36</v>
      </c>
      <c r="D369" s="8" t="n">
        <v>0</v>
      </c>
      <c r="E369" s="8" t="n">
        <v>1</v>
      </c>
    </row>
    <row r="370" customFormat="false" ht="15" hidden="false" customHeight="false" outlineLevel="0" collapsed="false">
      <c r="A370" s="5" t="s">
        <v>87</v>
      </c>
      <c r="B370" s="5" t="s">
        <v>68</v>
      </c>
      <c r="C370" s="5" t="s">
        <v>36</v>
      </c>
      <c r="D370" s="5" t="n">
        <v>4</v>
      </c>
      <c r="E370" s="5" t="n">
        <v>3</v>
      </c>
    </row>
    <row r="371" customFormat="false" ht="15" hidden="false" customHeight="false" outlineLevel="0" collapsed="false">
      <c r="A371" s="8" t="s">
        <v>88</v>
      </c>
      <c r="B371" s="8" t="s">
        <v>68</v>
      </c>
      <c r="C371" s="8" t="s">
        <v>36</v>
      </c>
      <c r="D371" s="8" t="n">
        <v>4</v>
      </c>
      <c r="E371" s="8" t="n">
        <v>3</v>
      </c>
    </row>
    <row r="372" customFormat="false" ht="15" hidden="false" customHeight="false" outlineLevel="0" collapsed="false">
      <c r="A372" s="5" t="s">
        <v>89</v>
      </c>
      <c r="B372" s="5" t="s">
        <v>68</v>
      </c>
      <c r="C372" s="5" t="s">
        <v>36</v>
      </c>
      <c r="D372" s="5" t="n">
        <v>4</v>
      </c>
      <c r="E372" s="5" t="n">
        <v>3</v>
      </c>
    </row>
    <row r="373" customFormat="false" ht="15" hidden="false" customHeight="false" outlineLevel="0" collapsed="false">
      <c r="A373" s="8" t="s">
        <v>90</v>
      </c>
      <c r="B373" s="8" t="s">
        <v>68</v>
      </c>
      <c r="C373" s="8" t="s">
        <v>36</v>
      </c>
      <c r="D373" s="8" t="n">
        <v>2</v>
      </c>
      <c r="E373" s="8" t="n">
        <v>2</v>
      </c>
    </row>
    <row r="374" customFormat="false" ht="15" hidden="false" customHeight="false" outlineLevel="0" collapsed="false">
      <c r="A374" s="5" t="s">
        <v>91</v>
      </c>
      <c r="B374" s="5" t="s">
        <v>68</v>
      </c>
      <c r="C374" s="5" t="s">
        <v>36</v>
      </c>
      <c r="D374" s="5" t="s">
        <v>70</v>
      </c>
      <c r="E374" s="5"/>
    </row>
    <row r="375" customFormat="false" ht="15" hidden="false" customHeight="false" outlineLevel="0" collapsed="false">
      <c r="A375" s="8" t="s">
        <v>92</v>
      </c>
      <c r="B375" s="8" t="s">
        <v>68</v>
      </c>
      <c r="C375" s="8" t="s">
        <v>36</v>
      </c>
      <c r="D375" s="8" t="s">
        <v>70</v>
      </c>
      <c r="E375" s="8"/>
    </row>
    <row r="376" customFormat="false" ht="15" hidden="false" customHeight="false" outlineLevel="0" collapsed="false">
      <c r="A376" s="5" t="s">
        <v>93</v>
      </c>
      <c r="B376" s="5" t="s">
        <v>68</v>
      </c>
      <c r="C376" s="5" t="s">
        <v>36</v>
      </c>
      <c r="D376" s="5" t="n">
        <v>2</v>
      </c>
      <c r="E376" s="5" t="n">
        <v>2</v>
      </c>
    </row>
    <row r="377" customFormat="false" ht="15" hidden="false" customHeight="false" outlineLevel="0" collapsed="false">
      <c r="A377" s="8" t="s">
        <v>67</v>
      </c>
      <c r="B377" s="8" t="s">
        <v>94</v>
      </c>
      <c r="C377" s="8" t="s">
        <v>36</v>
      </c>
      <c r="D377" s="8" t="n">
        <v>4</v>
      </c>
      <c r="E377" s="8" t="n">
        <v>3</v>
      </c>
    </row>
    <row r="378" customFormat="false" ht="15" hidden="false" customHeight="false" outlineLevel="0" collapsed="false">
      <c r="A378" s="5" t="s">
        <v>69</v>
      </c>
      <c r="B378" s="5" t="s">
        <v>94</v>
      </c>
      <c r="C378" s="5" t="s">
        <v>36</v>
      </c>
      <c r="D378" s="5" t="n">
        <v>2</v>
      </c>
      <c r="E378" s="5" t="n">
        <v>2</v>
      </c>
    </row>
    <row r="379" customFormat="false" ht="15" hidden="false" customHeight="false" outlineLevel="0" collapsed="false">
      <c r="A379" s="8" t="s">
        <v>71</v>
      </c>
      <c r="B379" s="8" t="s">
        <v>94</v>
      </c>
      <c r="C379" s="8" t="s">
        <v>36</v>
      </c>
      <c r="D379" s="8" t="n">
        <v>4</v>
      </c>
      <c r="E379" s="8" t="n">
        <v>3</v>
      </c>
    </row>
    <row r="380" customFormat="false" ht="15" hidden="false" customHeight="false" outlineLevel="0" collapsed="false">
      <c r="A380" s="5" t="s">
        <v>72</v>
      </c>
      <c r="B380" s="5" t="s">
        <v>94</v>
      </c>
      <c r="C380" s="5" t="s">
        <v>36</v>
      </c>
      <c r="D380" s="5" t="n">
        <v>3</v>
      </c>
      <c r="E380" s="5" t="n">
        <v>2</v>
      </c>
    </row>
    <row r="381" customFormat="false" ht="15" hidden="false" customHeight="false" outlineLevel="0" collapsed="false">
      <c r="A381" s="8" t="s">
        <v>73</v>
      </c>
      <c r="B381" s="8" t="s">
        <v>94</v>
      </c>
      <c r="C381" s="8" t="s">
        <v>36</v>
      </c>
      <c r="D381" s="8" t="n">
        <v>3</v>
      </c>
      <c r="E381" s="8" t="n">
        <v>2</v>
      </c>
    </row>
    <row r="382" customFormat="false" ht="15" hidden="false" customHeight="false" outlineLevel="0" collapsed="false">
      <c r="A382" s="5" t="s">
        <v>74</v>
      </c>
      <c r="B382" s="5" t="s">
        <v>94</v>
      </c>
      <c r="C382" s="5" t="s">
        <v>36</v>
      </c>
      <c r="D382" s="5" t="n">
        <v>1</v>
      </c>
      <c r="E382" s="5" t="n">
        <v>1</v>
      </c>
    </row>
    <row r="383" customFormat="false" ht="15" hidden="false" customHeight="false" outlineLevel="0" collapsed="false">
      <c r="A383" s="8" t="s">
        <v>75</v>
      </c>
      <c r="B383" s="8" t="s">
        <v>94</v>
      </c>
      <c r="C383" s="8" t="s">
        <v>36</v>
      </c>
      <c r="D383" s="8" t="n">
        <v>3</v>
      </c>
      <c r="E383" s="8" t="n">
        <v>2</v>
      </c>
    </row>
    <row r="384" customFormat="false" ht="15" hidden="false" customHeight="false" outlineLevel="0" collapsed="false">
      <c r="A384" s="5" t="s">
        <v>76</v>
      </c>
      <c r="B384" s="5" t="s">
        <v>94</v>
      </c>
      <c r="C384" s="5" t="s">
        <v>36</v>
      </c>
      <c r="D384" s="5" t="n">
        <v>2</v>
      </c>
      <c r="E384" s="5" t="n">
        <v>2</v>
      </c>
    </row>
    <row r="385" customFormat="false" ht="15" hidden="false" customHeight="false" outlineLevel="0" collapsed="false">
      <c r="A385" s="8" t="s">
        <v>77</v>
      </c>
      <c r="B385" s="8" t="s">
        <v>94</v>
      </c>
      <c r="C385" s="8" t="s">
        <v>36</v>
      </c>
      <c r="D385" s="8" t="n">
        <v>3</v>
      </c>
      <c r="E385" s="8" t="n">
        <v>2</v>
      </c>
    </row>
    <row r="386" customFormat="false" ht="15" hidden="false" customHeight="false" outlineLevel="0" collapsed="false">
      <c r="A386" s="5" t="s">
        <v>78</v>
      </c>
      <c r="B386" s="5" t="s">
        <v>94</v>
      </c>
      <c r="C386" s="5" t="s">
        <v>36</v>
      </c>
      <c r="D386" s="5" t="n">
        <v>5</v>
      </c>
      <c r="E386" s="5" t="n">
        <v>4</v>
      </c>
    </row>
    <row r="387" customFormat="false" ht="15" hidden="false" customHeight="false" outlineLevel="0" collapsed="false">
      <c r="A387" s="8" t="s">
        <v>79</v>
      </c>
      <c r="B387" s="8" t="s">
        <v>94</v>
      </c>
      <c r="C387" s="8" t="s">
        <v>36</v>
      </c>
      <c r="D387" s="8" t="n">
        <v>3</v>
      </c>
      <c r="E387" s="8" t="n">
        <v>2</v>
      </c>
    </row>
    <row r="388" customFormat="false" ht="15" hidden="false" customHeight="false" outlineLevel="0" collapsed="false">
      <c r="A388" s="5" t="s">
        <v>80</v>
      </c>
      <c r="B388" s="5" t="s">
        <v>94</v>
      </c>
      <c r="C388" s="5" t="s">
        <v>36</v>
      </c>
      <c r="D388" s="5" t="n">
        <v>4</v>
      </c>
      <c r="E388" s="5" t="n">
        <v>3</v>
      </c>
    </row>
    <row r="389" customFormat="false" ht="15" hidden="false" customHeight="false" outlineLevel="0" collapsed="false">
      <c r="A389" s="8" t="s">
        <v>81</v>
      </c>
      <c r="B389" s="8" t="s">
        <v>94</v>
      </c>
      <c r="C389" s="8" t="s">
        <v>36</v>
      </c>
      <c r="D389" s="8" t="n">
        <v>2</v>
      </c>
      <c r="E389" s="8" t="n">
        <v>2</v>
      </c>
    </row>
    <row r="390" customFormat="false" ht="15" hidden="false" customHeight="false" outlineLevel="0" collapsed="false">
      <c r="A390" s="5" t="s">
        <v>82</v>
      </c>
      <c r="B390" s="5" t="s">
        <v>94</v>
      </c>
      <c r="C390" s="5" t="s">
        <v>36</v>
      </c>
      <c r="D390" s="5" t="n">
        <v>4</v>
      </c>
      <c r="E390" s="5" t="n">
        <v>3</v>
      </c>
    </row>
    <row r="391" customFormat="false" ht="15" hidden="false" customHeight="false" outlineLevel="0" collapsed="false">
      <c r="A391" s="8" t="s">
        <v>83</v>
      </c>
      <c r="B391" s="8" t="s">
        <v>94</v>
      </c>
      <c r="C391" s="8" t="s">
        <v>36</v>
      </c>
      <c r="D391" s="8" t="n">
        <v>4</v>
      </c>
      <c r="E391" s="8" t="n">
        <v>3</v>
      </c>
    </row>
    <row r="392" customFormat="false" ht="15" hidden="false" customHeight="false" outlineLevel="0" collapsed="false">
      <c r="A392" s="5" t="s">
        <v>84</v>
      </c>
      <c r="B392" s="5" t="s">
        <v>94</v>
      </c>
      <c r="C392" s="5" t="s">
        <v>36</v>
      </c>
      <c r="D392" s="5" t="s">
        <v>70</v>
      </c>
      <c r="E392" s="5"/>
    </row>
    <row r="393" customFormat="false" ht="15" hidden="false" customHeight="false" outlineLevel="0" collapsed="false">
      <c r="A393" s="8" t="s">
        <v>85</v>
      </c>
      <c r="B393" s="8" t="s">
        <v>94</v>
      </c>
      <c r="C393" s="8" t="s">
        <v>36</v>
      </c>
      <c r="D393" s="8" t="n">
        <v>4</v>
      </c>
      <c r="E393" s="8" t="n">
        <v>3</v>
      </c>
    </row>
    <row r="394" customFormat="false" ht="15" hidden="false" customHeight="false" outlineLevel="0" collapsed="false">
      <c r="A394" s="5" t="s">
        <v>86</v>
      </c>
      <c r="B394" s="5" t="s">
        <v>94</v>
      </c>
      <c r="C394" s="5" t="s">
        <v>36</v>
      </c>
      <c r="D394" s="5" t="s">
        <v>70</v>
      </c>
      <c r="E394" s="5"/>
    </row>
    <row r="395" customFormat="false" ht="15" hidden="false" customHeight="false" outlineLevel="0" collapsed="false">
      <c r="A395" s="8" t="s">
        <v>87</v>
      </c>
      <c r="B395" s="8" t="s">
        <v>94</v>
      </c>
      <c r="C395" s="8" t="s">
        <v>36</v>
      </c>
      <c r="D395" s="8" t="n">
        <v>1</v>
      </c>
      <c r="E395" s="8" t="n">
        <v>1</v>
      </c>
    </row>
    <row r="396" customFormat="false" ht="15" hidden="false" customHeight="false" outlineLevel="0" collapsed="false">
      <c r="A396" s="5" t="s">
        <v>88</v>
      </c>
      <c r="B396" s="5" t="s">
        <v>94</v>
      </c>
      <c r="C396" s="5" t="s">
        <v>36</v>
      </c>
      <c r="D396" s="5" t="n">
        <v>3</v>
      </c>
      <c r="E396" s="5" t="n">
        <v>2</v>
      </c>
    </row>
    <row r="397" customFormat="false" ht="15" hidden="false" customHeight="false" outlineLevel="0" collapsed="false">
      <c r="A397" s="8" t="s">
        <v>89</v>
      </c>
      <c r="B397" s="8" t="s">
        <v>94</v>
      </c>
      <c r="C397" s="8" t="s">
        <v>36</v>
      </c>
      <c r="D397" s="8" t="n">
        <v>4</v>
      </c>
      <c r="E397" s="8" t="n">
        <v>3</v>
      </c>
    </row>
    <row r="398" customFormat="false" ht="15" hidden="false" customHeight="false" outlineLevel="0" collapsed="false">
      <c r="A398" s="5" t="s">
        <v>90</v>
      </c>
      <c r="B398" s="5" t="s">
        <v>94</v>
      </c>
      <c r="C398" s="5" t="s">
        <v>36</v>
      </c>
      <c r="D398" s="5" t="n">
        <v>2</v>
      </c>
      <c r="E398" s="5" t="n">
        <v>2</v>
      </c>
    </row>
    <row r="399" customFormat="false" ht="15" hidden="false" customHeight="false" outlineLevel="0" collapsed="false">
      <c r="A399" s="8" t="s">
        <v>91</v>
      </c>
      <c r="B399" s="8" t="s">
        <v>94</v>
      </c>
      <c r="C399" s="8" t="s">
        <v>36</v>
      </c>
      <c r="D399" s="8" t="n">
        <v>4</v>
      </c>
      <c r="E399" s="8" t="n">
        <v>3</v>
      </c>
    </row>
    <row r="400" customFormat="false" ht="15" hidden="false" customHeight="false" outlineLevel="0" collapsed="false">
      <c r="A400" s="5" t="s">
        <v>92</v>
      </c>
      <c r="B400" s="5" t="s">
        <v>94</v>
      </c>
      <c r="C400" s="5" t="s">
        <v>36</v>
      </c>
      <c r="D400" s="5" t="n">
        <v>4</v>
      </c>
      <c r="E400" s="5" t="n">
        <v>3</v>
      </c>
    </row>
    <row r="401" customFormat="false" ht="15" hidden="false" customHeight="false" outlineLevel="0" collapsed="false">
      <c r="A401" s="8" t="s">
        <v>93</v>
      </c>
      <c r="B401" s="8" t="s">
        <v>94</v>
      </c>
      <c r="C401" s="8" t="s">
        <v>36</v>
      </c>
      <c r="D401" s="8" t="n">
        <v>3</v>
      </c>
      <c r="E401" s="8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4" t="s">
        <v>63</v>
      </c>
      <c r="B1" s="4" t="s">
        <v>64</v>
      </c>
      <c r="C1" s="4" t="s">
        <v>12</v>
      </c>
      <c r="D1" s="4" t="s">
        <v>95</v>
      </c>
      <c r="E1" s="4" t="s">
        <v>96</v>
      </c>
      <c r="F1" s="4" t="s">
        <v>97</v>
      </c>
      <c r="G1" s="4" t="s">
        <v>98</v>
      </c>
      <c r="H1" s="4" t="s">
        <v>17</v>
      </c>
      <c r="I1" s="4" t="s">
        <v>99</v>
      </c>
      <c r="J1" s="4" t="s">
        <v>100</v>
      </c>
    </row>
    <row r="2" customFormat="false" ht="15" hidden="false" customHeight="false" outlineLevel="0" collapsed="false">
      <c r="A2" s="5" t="s">
        <v>67</v>
      </c>
      <c r="B2" s="5" t="s">
        <v>68</v>
      </c>
      <c r="C2" s="5" t="s">
        <v>19</v>
      </c>
      <c r="D2" s="5" t="n">
        <v>2</v>
      </c>
      <c r="E2" s="5"/>
      <c r="F2" s="7" t="n">
        <f aca="false">IF(COUNTIFS(SCORES!$A$2:$A$2000,A2,SCORES!$B$2:$B$2000,B2,SCORES!$C$2:$C$2000,C2,SCORES!$D$2:$D$2000,"&gt;=0")&gt;0,SUMIFS(SCORES!$D$2:$D$2000,SCORES!$A$2:$A$2000,A2,SCORES!$B$2:$B$2000,B2,SCORES!$C$2:$C$2000,C2),"")</f>
        <v>4</v>
      </c>
      <c r="G2" s="7" t="n">
        <f aca="false">IF(AND(ISNUMBER(F2),ISNUMBER(D2)),1,0)</f>
        <v>1</v>
      </c>
      <c r="H2" s="7" t="str">
        <f aca="false">IFERROR(INDEX(CHECKS!$F$2:$F$2000,MATCH(C2,CHECKS!$A$2:$A$2000,0))&amp;"","")</f>
        <v/>
      </c>
      <c r="I2" s="7" t="str">
        <f aca="false">IF(H2="","",IF(COUNTIFS(SCORES!$A$2:$A$2000,A2,SCORES!$B$2:$B$2000,B2,SCORES!$C$2:$C$2000,H2,SCORES!$D$2:$D$2000,"&gt;=0")&gt;0,SUMIFS(SCORES!$D$2:$D$2000,SCORES!$A$2:$A$2000,A2,SCORES!$B$2:$B$2000,B2,SCORES!$C$2:$C$2000,H2),""))</f>
        <v/>
      </c>
      <c r="J2" s="7" t="n">
        <f aca="false">IF(AND(ISNUMBER(I2),ISNUMBER(E2)),1,0)</f>
        <v>0</v>
      </c>
    </row>
    <row r="3" customFormat="false" ht="15" hidden="false" customHeight="false" outlineLevel="0" collapsed="false">
      <c r="A3" s="8" t="s">
        <v>69</v>
      </c>
      <c r="B3" s="8" t="s">
        <v>68</v>
      </c>
      <c r="C3" s="8" t="s">
        <v>19</v>
      </c>
      <c r="D3" s="8" t="n">
        <v>3</v>
      </c>
      <c r="E3" s="8"/>
      <c r="F3" s="10" t="str">
        <f aca="false">IF(COUNTIFS(SCORES!$A$2:$A$2000,A3,SCORES!$B$2:$B$2000,B3,SCORES!$C$2:$C$2000,C3,SCORES!$D$2:$D$2000,"&gt;=0")&gt;0,SUMIFS(SCORES!$D$2:$D$2000,SCORES!$A$2:$A$2000,A3,SCORES!$B$2:$B$2000,B3,SCORES!$C$2:$C$2000,C3),"")</f>
        <v/>
      </c>
      <c r="G3" s="10" t="n">
        <f aca="false">IF(AND(ISNUMBER(F3),ISNUMBER(D3)),1,0)</f>
        <v>0</v>
      </c>
      <c r="H3" s="10" t="str">
        <f aca="false">IFERROR(INDEX(CHECKS!$F$2:$F$2000,MATCH(C3,CHECKS!$A$2:$A$2000,0))&amp;"","")</f>
        <v/>
      </c>
      <c r="I3" s="10" t="str">
        <f aca="false">IF(H3="","",IF(COUNTIFS(SCORES!$A$2:$A$2000,A3,SCORES!$B$2:$B$2000,B3,SCORES!$C$2:$C$2000,H3,SCORES!$D$2:$D$2000,"&gt;=0")&gt;0,SUMIFS(SCORES!$D$2:$D$2000,SCORES!$A$2:$A$2000,A3,SCORES!$B$2:$B$2000,B3,SCORES!$C$2:$C$2000,H3),""))</f>
        <v/>
      </c>
      <c r="J3" s="10" t="n">
        <f aca="false">IF(AND(ISNUMBER(I3),ISNUMBER(E3)),1,0)</f>
        <v>0</v>
      </c>
    </row>
    <row r="4" customFormat="false" ht="15" hidden="false" customHeight="false" outlineLevel="0" collapsed="false">
      <c r="A4" s="5" t="s">
        <v>71</v>
      </c>
      <c r="B4" s="5" t="s">
        <v>68</v>
      </c>
      <c r="C4" s="5" t="s">
        <v>19</v>
      </c>
      <c r="D4" s="5" t="n">
        <v>2</v>
      </c>
      <c r="E4" s="5"/>
      <c r="F4" s="7" t="n">
        <f aca="false">IF(COUNTIFS(SCORES!$A$2:$A$2000,A4,SCORES!$B$2:$B$2000,B4,SCORES!$C$2:$C$2000,C4,SCORES!$D$2:$D$2000,"&gt;=0")&gt;0,SUMIFS(SCORES!$D$2:$D$2000,SCORES!$A$2:$A$2000,A4,SCORES!$B$2:$B$2000,B4,SCORES!$C$2:$C$2000,C4),"")</f>
        <v>2</v>
      </c>
      <c r="G4" s="7" t="n">
        <f aca="false">IF(AND(ISNUMBER(F4),ISNUMBER(D4)),1,0)</f>
        <v>1</v>
      </c>
      <c r="H4" s="7" t="str">
        <f aca="false">IFERROR(INDEX(CHECKS!$F$2:$F$2000,MATCH(C4,CHECKS!$A$2:$A$2000,0))&amp;"","")</f>
        <v/>
      </c>
      <c r="I4" s="7" t="str">
        <f aca="false">IF(H4="","",IF(COUNTIFS(SCORES!$A$2:$A$2000,A4,SCORES!$B$2:$B$2000,B4,SCORES!$C$2:$C$2000,H4,SCORES!$D$2:$D$2000,"&gt;=0")&gt;0,SUMIFS(SCORES!$D$2:$D$2000,SCORES!$A$2:$A$2000,A4,SCORES!$B$2:$B$2000,B4,SCORES!$C$2:$C$2000,H4),""))</f>
        <v/>
      </c>
      <c r="J4" s="7" t="n">
        <f aca="false">IF(AND(ISNUMBER(I4),ISNUMBER(E4)),1,0)</f>
        <v>0</v>
      </c>
    </row>
    <row r="5" customFormat="false" ht="15" hidden="false" customHeight="false" outlineLevel="0" collapsed="false">
      <c r="A5" s="8" t="s">
        <v>72</v>
      </c>
      <c r="B5" s="8" t="s">
        <v>68</v>
      </c>
      <c r="C5" s="8" t="s">
        <v>19</v>
      </c>
      <c r="D5" s="8" t="n">
        <v>2</v>
      </c>
      <c r="E5" s="8"/>
      <c r="F5" s="10" t="n">
        <f aca="false">IF(COUNTIFS(SCORES!$A$2:$A$2000,A5,SCORES!$B$2:$B$2000,B5,SCORES!$C$2:$C$2000,C5,SCORES!$D$2:$D$2000,"&gt;=0")&gt;0,SUMIFS(SCORES!$D$2:$D$2000,SCORES!$A$2:$A$2000,A5,SCORES!$B$2:$B$2000,B5,SCORES!$C$2:$C$2000,C5),"")</f>
        <v>2</v>
      </c>
      <c r="G5" s="10" t="n">
        <f aca="false">IF(AND(ISNUMBER(F5),ISNUMBER(D5)),1,0)</f>
        <v>1</v>
      </c>
      <c r="H5" s="10" t="str">
        <f aca="false">IFERROR(INDEX(CHECKS!$F$2:$F$2000,MATCH(C5,CHECKS!$A$2:$A$2000,0))&amp;"","")</f>
        <v/>
      </c>
      <c r="I5" s="10" t="str">
        <f aca="false">IF(H5="","",IF(COUNTIFS(SCORES!$A$2:$A$2000,A5,SCORES!$B$2:$B$2000,B5,SCORES!$C$2:$C$2000,H5,SCORES!$D$2:$D$2000,"&gt;=0")&gt;0,SUMIFS(SCORES!$D$2:$D$2000,SCORES!$A$2:$A$2000,A5,SCORES!$B$2:$B$2000,B5,SCORES!$C$2:$C$2000,H5),""))</f>
        <v/>
      </c>
      <c r="J5" s="10" t="n">
        <f aca="false">IF(AND(ISNUMBER(I5),ISNUMBER(E5)),1,0)</f>
        <v>0</v>
      </c>
    </row>
    <row r="6" customFormat="false" ht="15" hidden="false" customHeight="false" outlineLevel="0" collapsed="false">
      <c r="A6" s="5" t="s">
        <v>73</v>
      </c>
      <c r="B6" s="5" t="s">
        <v>68</v>
      </c>
      <c r="C6" s="5" t="s">
        <v>19</v>
      </c>
      <c r="D6" s="5" t="n">
        <v>2</v>
      </c>
      <c r="E6" s="5"/>
      <c r="F6" s="7" t="n">
        <f aca="false">IF(COUNTIFS(SCORES!$A$2:$A$2000,A6,SCORES!$B$2:$B$2000,B6,SCORES!$C$2:$C$2000,C6,SCORES!$D$2:$D$2000,"&gt;=0")&gt;0,SUMIFS(SCORES!$D$2:$D$2000,SCORES!$A$2:$A$2000,A6,SCORES!$B$2:$B$2000,B6,SCORES!$C$2:$C$2000,C6),"")</f>
        <v>1</v>
      </c>
      <c r="G6" s="7" t="n">
        <f aca="false">IF(AND(ISNUMBER(F6),ISNUMBER(D6)),1,0)</f>
        <v>1</v>
      </c>
      <c r="H6" s="7" t="str">
        <f aca="false">IFERROR(INDEX(CHECKS!$F$2:$F$2000,MATCH(C6,CHECKS!$A$2:$A$2000,0))&amp;"","")</f>
        <v/>
      </c>
      <c r="I6" s="7" t="str">
        <f aca="false">IF(H6="","",IF(COUNTIFS(SCORES!$A$2:$A$2000,A6,SCORES!$B$2:$B$2000,B6,SCORES!$C$2:$C$2000,H6,SCORES!$D$2:$D$2000,"&gt;=0")&gt;0,SUMIFS(SCORES!$D$2:$D$2000,SCORES!$A$2:$A$2000,A6,SCORES!$B$2:$B$2000,B6,SCORES!$C$2:$C$2000,H6),""))</f>
        <v/>
      </c>
      <c r="J6" s="7" t="n">
        <f aca="false">IF(AND(ISNUMBER(I6),ISNUMBER(E6)),1,0)</f>
        <v>0</v>
      </c>
    </row>
    <row r="7" customFormat="false" ht="15" hidden="false" customHeight="false" outlineLevel="0" collapsed="false">
      <c r="A7" s="8" t="s">
        <v>74</v>
      </c>
      <c r="B7" s="8" t="s">
        <v>68</v>
      </c>
      <c r="C7" s="8" t="s">
        <v>19</v>
      </c>
      <c r="D7" s="8" t="n">
        <v>3</v>
      </c>
      <c r="E7" s="8"/>
      <c r="F7" s="10" t="n">
        <f aca="false">IF(COUNTIFS(SCORES!$A$2:$A$2000,A7,SCORES!$B$2:$B$2000,B7,SCORES!$C$2:$C$2000,C7,SCORES!$D$2:$D$2000,"&gt;=0")&gt;0,SUMIFS(SCORES!$D$2:$D$2000,SCORES!$A$2:$A$2000,A7,SCORES!$B$2:$B$2000,B7,SCORES!$C$2:$C$2000,C7),"")</f>
        <v>4</v>
      </c>
      <c r="G7" s="10" t="n">
        <f aca="false">IF(AND(ISNUMBER(F7),ISNUMBER(D7)),1,0)</f>
        <v>1</v>
      </c>
      <c r="H7" s="10" t="str">
        <f aca="false">IFERROR(INDEX(CHECKS!$F$2:$F$2000,MATCH(C7,CHECKS!$A$2:$A$2000,0))&amp;"","")</f>
        <v/>
      </c>
      <c r="I7" s="10" t="str">
        <f aca="false">IF(H7="","",IF(COUNTIFS(SCORES!$A$2:$A$2000,A7,SCORES!$B$2:$B$2000,B7,SCORES!$C$2:$C$2000,H7,SCORES!$D$2:$D$2000,"&gt;=0")&gt;0,SUMIFS(SCORES!$D$2:$D$2000,SCORES!$A$2:$A$2000,A7,SCORES!$B$2:$B$2000,B7,SCORES!$C$2:$C$2000,H7),""))</f>
        <v/>
      </c>
      <c r="J7" s="10" t="n">
        <f aca="false">IF(AND(ISNUMBER(I7),ISNUMBER(E7)),1,0)</f>
        <v>0</v>
      </c>
    </row>
    <row r="8" customFormat="false" ht="15" hidden="false" customHeight="false" outlineLevel="0" collapsed="false">
      <c r="A8" s="5" t="s">
        <v>75</v>
      </c>
      <c r="B8" s="5" t="s">
        <v>68</v>
      </c>
      <c r="C8" s="5" t="s">
        <v>19</v>
      </c>
      <c r="D8" s="5" t="n">
        <v>3</v>
      </c>
      <c r="E8" s="5"/>
      <c r="F8" s="7" t="n">
        <f aca="false">IF(COUNTIFS(SCORES!$A$2:$A$2000,A8,SCORES!$B$2:$B$2000,B8,SCORES!$C$2:$C$2000,C8,SCORES!$D$2:$D$2000,"&gt;=0")&gt;0,SUMIFS(SCORES!$D$2:$D$2000,SCORES!$A$2:$A$2000,A8,SCORES!$B$2:$B$2000,B8,SCORES!$C$2:$C$2000,C8),"")</f>
        <v>5</v>
      </c>
      <c r="G8" s="7" t="n">
        <f aca="false">IF(AND(ISNUMBER(F8),ISNUMBER(D8)),1,0)</f>
        <v>1</v>
      </c>
      <c r="H8" s="7" t="str">
        <f aca="false">IFERROR(INDEX(CHECKS!$F$2:$F$2000,MATCH(C8,CHECKS!$A$2:$A$2000,0))&amp;"","")</f>
        <v/>
      </c>
      <c r="I8" s="7" t="str">
        <f aca="false">IF(H8="","",IF(COUNTIFS(SCORES!$A$2:$A$2000,A8,SCORES!$B$2:$B$2000,B8,SCORES!$C$2:$C$2000,H8,SCORES!$D$2:$D$2000,"&gt;=0")&gt;0,SUMIFS(SCORES!$D$2:$D$2000,SCORES!$A$2:$A$2000,A8,SCORES!$B$2:$B$2000,B8,SCORES!$C$2:$C$2000,H8),""))</f>
        <v/>
      </c>
      <c r="J8" s="7" t="n">
        <f aca="false">IF(AND(ISNUMBER(I8),ISNUMBER(E8)),1,0)</f>
        <v>0</v>
      </c>
    </row>
    <row r="9" customFormat="false" ht="15" hidden="false" customHeight="false" outlineLevel="0" collapsed="false">
      <c r="A9" s="8" t="s">
        <v>76</v>
      </c>
      <c r="B9" s="8" t="s">
        <v>68</v>
      </c>
      <c r="C9" s="8" t="s">
        <v>19</v>
      </c>
      <c r="D9" s="8" t="n">
        <v>3</v>
      </c>
      <c r="E9" s="8"/>
      <c r="F9" s="10" t="n">
        <f aca="false">IF(COUNTIFS(SCORES!$A$2:$A$2000,A9,SCORES!$B$2:$B$2000,B9,SCORES!$C$2:$C$2000,C9,SCORES!$D$2:$D$2000,"&gt;=0")&gt;0,SUMIFS(SCORES!$D$2:$D$2000,SCORES!$A$2:$A$2000,A9,SCORES!$B$2:$B$2000,B9,SCORES!$C$2:$C$2000,C9),"")</f>
        <v>3</v>
      </c>
      <c r="G9" s="10" t="n">
        <f aca="false">IF(AND(ISNUMBER(F9),ISNUMBER(D9)),1,0)</f>
        <v>1</v>
      </c>
      <c r="H9" s="10" t="str">
        <f aca="false">IFERROR(INDEX(CHECKS!$F$2:$F$2000,MATCH(C9,CHECKS!$A$2:$A$2000,0))&amp;"","")</f>
        <v/>
      </c>
      <c r="I9" s="10" t="str">
        <f aca="false">IF(H9="","",IF(COUNTIFS(SCORES!$A$2:$A$2000,A9,SCORES!$B$2:$B$2000,B9,SCORES!$C$2:$C$2000,H9,SCORES!$D$2:$D$2000,"&gt;=0")&gt;0,SUMIFS(SCORES!$D$2:$D$2000,SCORES!$A$2:$A$2000,A9,SCORES!$B$2:$B$2000,B9,SCORES!$C$2:$C$2000,H9),""))</f>
        <v/>
      </c>
      <c r="J9" s="10" t="n">
        <f aca="false">IF(AND(ISNUMBER(I9),ISNUMBER(E9)),1,0)</f>
        <v>0</v>
      </c>
    </row>
    <row r="10" customFormat="false" ht="15" hidden="false" customHeight="false" outlineLevel="0" collapsed="false">
      <c r="A10" s="5" t="s">
        <v>77</v>
      </c>
      <c r="B10" s="5" t="s">
        <v>68</v>
      </c>
      <c r="C10" s="5" t="s">
        <v>19</v>
      </c>
      <c r="D10" s="5" t="n">
        <v>3</v>
      </c>
      <c r="E10" s="5"/>
      <c r="F10" s="7" t="n">
        <f aca="false">IF(COUNTIFS(SCORES!$A$2:$A$2000,A10,SCORES!$B$2:$B$2000,B10,SCORES!$C$2:$C$2000,C10,SCORES!$D$2:$D$2000,"&gt;=0")&gt;0,SUMIFS(SCORES!$D$2:$D$2000,SCORES!$A$2:$A$2000,A10,SCORES!$B$2:$B$2000,B10,SCORES!$C$2:$C$2000,C10),"")</f>
        <v>3</v>
      </c>
      <c r="G10" s="7" t="n">
        <f aca="false">IF(AND(ISNUMBER(F10),ISNUMBER(D10)),1,0)</f>
        <v>1</v>
      </c>
      <c r="H10" s="7" t="str">
        <f aca="false">IFERROR(INDEX(CHECKS!$F$2:$F$2000,MATCH(C10,CHECKS!$A$2:$A$2000,0))&amp;"","")</f>
        <v/>
      </c>
      <c r="I10" s="7" t="str">
        <f aca="false">IF(H10="","",IF(COUNTIFS(SCORES!$A$2:$A$2000,A10,SCORES!$B$2:$B$2000,B10,SCORES!$C$2:$C$2000,H10,SCORES!$D$2:$D$2000,"&gt;=0")&gt;0,SUMIFS(SCORES!$D$2:$D$2000,SCORES!$A$2:$A$2000,A10,SCORES!$B$2:$B$2000,B10,SCORES!$C$2:$C$2000,H10),""))</f>
        <v/>
      </c>
      <c r="J10" s="7" t="n">
        <f aca="false">IF(AND(ISNUMBER(I10),ISNUMBER(E10)),1,0)</f>
        <v>0</v>
      </c>
    </row>
    <row r="11" customFormat="false" ht="15" hidden="false" customHeight="false" outlineLevel="0" collapsed="false">
      <c r="A11" s="8" t="s">
        <v>78</v>
      </c>
      <c r="B11" s="8" t="s">
        <v>68</v>
      </c>
      <c r="C11" s="8" t="s">
        <v>19</v>
      </c>
      <c r="D11" s="8" t="n">
        <v>3</v>
      </c>
      <c r="E11" s="8"/>
      <c r="F11" s="10" t="n">
        <f aca="false">IF(COUNTIFS(SCORES!$A$2:$A$2000,A11,SCORES!$B$2:$B$2000,B11,SCORES!$C$2:$C$2000,C11,SCORES!$D$2:$D$2000,"&gt;=0")&gt;0,SUMIFS(SCORES!$D$2:$D$2000,SCORES!$A$2:$A$2000,A11,SCORES!$B$2:$B$2000,B11,SCORES!$C$2:$C$2000,C11),"")</f>
        <v>5</v>
      </c>
      <c r="G11" s="10" t="n">
        <f aca="false">IF(AND(ISNUMBER(F11),ISNUMBER(D11)),1,0)</f>
        <v>1</v>
      </c>
      <c r="H11" s="10" t="str">
        <f aca="false">IFERROR(INDEX(CHECKS!$F$2:$F$2000,MATCH(C11,CHECKS!$A$2:$A$2000,0))&amp;"","")</f>
        <v/>
      </c>
      <c r="I11" s="10" t="str">
        <f aca="false">IF(H11="","",IF(COUNTIFS(SCORES!$A$2:$A$2000,A11,SCORES!$B$2:$B$2000,B11,SCORES!$C$2:$C$2000,H11,SCORES!$D$2:$D$2000,"&gt;=0")&gt;0,SUMIFS(SCORES!$D$2:$D$2000,SCORES!$A$2:$A$2000,A11,SCORES!$B$2:$B$2000,B11,SCORES!$C$2:$C$2000,H11),""))</f>
        <v/>
      </c>
      <c r="J11" s="10" t="n">
        <f aca="false">IF(AND(ISNUMBER(I11),ISNUMBER(E11)),1,0)</f>
        <v>0</v>
      </c>
    </row>
    <row r="12" customFormat="false" ht="15" hidden="false" customHeight="false" outlineLevel="0" collapsed="false">
      <c r="A12" s="5" t="s">
        <v>79</v>
      </c>
      <c r="B12" s="5" t="s">
        <v>68</v>
      </c>
      <c r="C12" s="5" t="s">
        <v>19</v>
      </c>
      <c r="D12" s="5" t="n">
        <v>3</v>
      </c>
      <c r="E12" s="5"/>
      <c r="F12" s="7" t="n">
        <f aca="false">IF(COUNTIFS(SCORES!$A$2:$A$2000,A12,SCORES!$B$2:$B$2000,B12,SCORES!$C$2:$C$2000,C12,SCORES!$D$2:$D$2000,"&gt;=0")&gt;0,SUMIFS(SCORES!$D$2:$D$2000,SCORES!$A$2:$A$2000,A12,SCORES!$B$2:$B$2000,B12,SCORES!$C$2:$C$2000,C12),"")</f>
        <v>4</v>
      </c>
      <c r="G12" s="7" t="n">
        <f aca="false">IF(AND(ISNUMBER(F12),ISNUMBER(D12)),1,0)</f>
        <v>1</v>
      </c>
      <c r="H12" s="7" t="str">
        <f aca="false">IFERROR(INDEX(CHECKS!$F$2:$F$2000,MATCH(C12,CHECKS!$A$2:$A$2000,0))&amp;"","")</f>
        <v/>
      </c>
      <c r="I12" s="7" t="str">
        <f aca="false">IF(H12="","",IF(COUNTIFS(SCORES!$A$2:$A$2000,A12,SCORES!$B$2:$B$2000,B12,SCORES!$C$2:$C$2000,H12,SCORES!$D$2:$D$2000,"&gt;=0")&gt;0,SUMIFS(SCORES!$D$2:$D$2000,SCORES!$A$2:$A$2000,A12,SCORES!$B$2:$B$2000,B12,SCORES!$C$2:$C$2000,H12),""))</f>
        <v/>
      </c>
      <c r="J12" s="7" t="n">
        <f aca="false">IF(AND(ISNUMBER(I12),ISNUMBER(E12)),1,0)</f>
        <v>0</v>
      </c>
    </row>
    <row r="13" customFormat="false" ht="15" hidden="false" customHeight="false" outlineLevel="0" collapsed="false">
      <c r="A13" s="8" t="s">
        <v>80</v>
      </c>
      <c r="B13" s="8" t="s">
        <v>68</v>
      </c>
      <c r="C13" s="8" t="s">
        <v>19</v>
      </c>
      <c r="D13" s="8" t="n">
        <v>3</v>
      </c>
      <c r="E13" s="8"/>
      <c r="F13" s="10" t="n">
        <f aca="false">IF(COUNTIFS(SCORES!$A$2:$A$2000,A13,SCORES!$B$2:$B$2000,B13,SCORES!$C$2:$C$2000,C13,SCORES!$D$2:$D$2000,"&gt;=0")&gt;0,SUMIFS(SCORES!$D$2:$D$2000,SCORES!$A$2:$A$2000,A13,SCORES!$B$2:$B$2000,B13,SCORES!$C$2:$C$2000,C13),"")</f>
        <v>3</v>
      </c>
      <c r="G13" s="10" t="n">
        <f aca="false">IF(AND(ISNUMBER(F13),ISNUMBER(D13)),1,0)</f>
        <v>1</v>
      </c>
      <c r="H13" s="10" t="str">
        <f aca="false">IFERROR(INDEX(CHECKS!$F$2:$F$2000,MATCH(C13,CHECKS!$A$2:$A$2000,0))&amp;"","")</f>
        <v/>
      </c>
      <c r="I13" s="10" t="str">
        <f aca="false">IF(H13="","",IF(COUNTIFS(SCORES!$A$2:$A$2000,A13,SCORES!$B$2:$B$2000,B13,SCORES!$C$2:$C$2000,H13,SCORES!$D$2:$D$2000,"&gt;=0")&gt;0,SUMIFS(SCORES!$D$2:$D$2000,SCORES!$A$2:$A$2000,A13,SCORES!$B$2:$B$2000,B13,SCORES!$C$2:$C$2000,H13),""))</f>
        <v/>
      </c>
      <c r="J13" s="10" t="n">
        <f aca="false">IF(AND(ISNUMBER(I13),ISNUMBER(E13)),1,0)</f>
        <v>0</v>
      </c>
    </row>
    <row r="14" customFormat="false" ht="15" hidden="false" customHeight="false" outlineLevel="0" collapsed="false">
      <c r="A14" s="5" t="s">
        <v>81</v>
      </c>
      <c r="B14" s="5" t="s">
        <v>68</v>
      </c>
      <c r="C14" s="5" t="s">
        <v>19</v>
      </c>
      <c r="D14" s="5" t="n">
        <v>2</v>
      </c>
      <c r="E14" s="5"/>
      <c r="F14" s="7" t="n">
        <f aca="false">IF(COUNTIFS(SCORES!$A$2:$A$2000,A14,SCORES!$B$2:$B$2000,B14,SCORES!$C$2:$C$2000,C14,SCORES!$D$2:$D$2000,"&gt;=0")&gt;0,SUMIFS(SCORES!$D$2:$D$2000,SCORES!$A$2:$A$2000,A14,SCORES!$B$2:$B$2000,B14,SCORES!$C$2:$C$2000,C14),"")</f>
        <v>1</v>
      </c>
      <c r="G14" s="7" t="n">
        <f aca="false">IF(AND(ISNUMBER(F14),ISNUMBER(D14)),1,0)</f>
        <v>1</v>
      </c>
      <c r="H14" s="7" t="str">
        <f aca="false">IFERROR(INDEX(CHECKS!$F$2:$F$2000,MATCH(C14,CHECKS!$A$2:$A$2000,0))&amp;"","")</f>
        <v/>
      </c>
      <c r="I14" s="7" t="str">
        <f aca="false">IF(H14="","",IF(COUNTIFS(SCORES!$A$2:$A$2000,A14,SCORES!$B$2:$B$2000,B14,SCORES!$C$2:$C$2000,H14,SCORES!$D$2:$D$2000,"&gt;=0")&gt;0,SUMIFS(SCORES!$D$2:$D$2000,SCORES!$A$2:$A$2000,A14,SCORES!$B$2:$B$2000,B14,SCORES!$C$2:$C$2000,H14),""))</f>
        <v/>
      </c>
      <c r="J14" s="7" t="n">
        <f aca="false">IF(AND(ISNUMBER(I14),ISNUMBER(E14)),1,0)</f>
        <v>0</v>
      </c>
    </row>
    <row r="15" customFormat="false" ht="15" hidden="false" customHeight="false" outlineLevel="0" collapsed="false">
      <c r="A15" s="8" t="s">
        <v>82</v>
      </c>
      <c r="B15" s="8" t="s">
        <v>68</v>
      </c>
      <c r="C15" s="8" t="s">
        <v>19</v>
      </c>
      <c r="D15" s="8" t="n">
        <v>3</v>
      </c>
      <c r="E15" s="8"/>
      <c r="F15" s="10" t="n">
        <f aca="false">IF(COUNTIFS(SCORES!$A$2:$A$2000,A15,SCORES!$B$2:$B$2000,B15,SCORES!$C$2:$C$2000,C15,SCORES!$D$2:$D$2000,"&gt;=0")&gt;0,SUMIFS(SCORES!$D$2:$D$2000,SCORES!$A$2:$A$2000,A15,SCORES!$B$2:$B$2000,B15,SCORES!$C$2:$C$2000,C15),"")</f>
        <v>5</v>
      </c>
      <c r="G15" s="10" t="n">
        <f aca="false">IF(AND(ISNUMBER(F15),ISNUMBER(D15)),1,0)</f>
        <v>1</v>
      </c>
      <c r="H15" s="10" t="str">
        <f aca="false">IFERROR(INDEX(CHECKS!$F$2:$F$2000,MATCH(C15,CHECKS!$A$2:$A$2000,0))&amp;"","")</f>
        <v/>
      </c>
      <c r="I15" s="10" t="str">
        <f aca="false">IF(H15="","",IF(COUNTIFS(SCORES!$A$2:$A$2000,A15,SCORES!$B$2:$B$2000,B15,SCORES!$C$2:$C$2000,H15,SCORES!$D$2:$D$2000,"&gt;=0")&gt;0,SUMIFS(SCORES!$D$2:$D$2000,SCORES!$A$2:$A$2000,A15,SCORES!$B$2:$B$2000,B15,SCORES!$C$2:$C$2000,H15),""))</f>
        <v/>
      </c>
      <c r="J15" s="10" t="n">
        <f aca="false">IF(AND(ISNUMBER(I15),ISNUMBER(E15)),1,0)</f>
        <v>0</v>
      </c>
    </row>
    <row r="16" customFormat="false" ht="15" hidden="false" customHeight="false" outlineLevel="0" collapsed="false">
      <c r="A16" s="5" t="s">
        <v>83</v>
      </c>
      <c r="B16" s="5" t="s">
        <v>68</v>
      </c>
      <c r="C16" s="5" t="s">
        <v>19</v>
      </c>
      <c r="D16" s="5" t="n">
        <v>3</v>
      </c>
      <c r="E16" s="5"/>
      <c r="F16" s="7" t="str">
        <f aca="false">IF(COUNTIFS(SCORES!$A$2:$A$2000,A16,SCORES!$B$2:$B$2000,B16,SCORES!$C$2:$C$2000,C16,SCORES!$D$2:$D$2000,"&gt;=0")&gt;0,SUMIFS(SCORES!$D$2:$D$2000,SCORES!$A$2:$A$2000,A16,SCORES!$B$2:$B$2000,B16,SCORES!$C$2:$C$2000,C16),"")</f>
        <v/>
      </c>
      <c r="G16" s="7" t="n">
        <f aca="false">IF(AND(ISNUMBER(F16),ISNUMBER(D16)),1,0)</f>
        <v>0</v>
      </c>
      <c r="H16" s="7" t="str">
        <f aca="false">IFERROR(INDEX(CHECKS!$F$2:$F$2000,MATCH(C16,CHECKS!$A$2:$A$2000,0))&amp;"","")</f>
        <v/>
      </c>
      <c r="I16" s="7" t="str">
        <f aca="false">IF(H16="","",IF(COUNTIFS(SCORES!$A$2:$A$2000,A16,SCORES!$B$2:$B$2000,B16,SCORES!$C$2:$C$2000,H16,SCORES!$D$2:$D$2000,"&gt;=0")&gt;0,SUMIFS(SCORES!$D$2:$D$2000,SCORES!$A$2:$A$2000,A16,SCORES!$B$2:$B$2000,B16,SCORES!$C$2:$C$2000,H16),""))</f>
        <v/>
      </c>
      <c r="J16" s="7" t="n">
        <f aca="false">IF(AND(ISNUMBER(I16),ISNUMBER(E16)),1,0)</f>
        <v>0</v>
      </c>
    </row>
    <row r="17" customFormat="false" ht="15" hidden="false" customHeight="false" outlineLevel="0" collapsed="false">
      <c r="A17" s="8" t="s">
        <v>85</v>
      </c>
      <c r="B17" s="8" t="s">
        <v>68</v>
      </c>
      <c r="C17" s="8" t="s">
        <v>19</v>
      </c>
      <c r="D17" s="8" t="n">
        <v>2</v>
      </c>
      <c r="E17" s="8"/>
      <c r="F17" s="10" t="n">
        <f aca="false">IF(COUNTIFS(SCORES!$A$2:$A$2000,A17,SCORES!$B$2:$B$2000,B17,SCORES!$C$2:$C$2000,C17,SCORES!$D$2:$D$2000,"&gt;=0")&gt;0,SUMIFS(SCORES!$D$2:$D$2000,SCORES!$A$2:$A$2000,A17,SCORES!$B$2:$B$2000,B17,SCORES!$C$2:$C$2000,C17),"")</f>
        <v>2</v>
      </c>
      <c r="G17" s="10" t="n">
        <f aca="false">IF(AND(ISNUMBER(F17),ISNUMBER(D17)),1,0)</f>
        <v>1</v>
      </c>
      <c r="H17" s="10" t="str">
        <f aca="false">IFERROR(INDEX(CHECKS!$F$2:$F$2000,MATCH(C17,CHECKS!$A$2:$A$2000,0))&amp;"","")</f>
        <v/>
      </c>
      <c r="I17" s="10" t="str">
        <f aca="false">IF(H17="","",IF(COUNTIFS(SCORES!$A$2:$A$2000,A17,SCORES!$B$2:$B$2000,B17,SCORES!$C$2:$C$2000,H17,SCORES!$D$2:$D$2000,"&gt;=0")&gt;0,SUMIFS(SCORES!$D$2:$D$2000,SCORES!$A$2:$A$2000,A17,SCORES!$B$2:$B$2000,B17,SCORES!$C$2:$C$2000,H17),""))</f>
        <v/>
      </c>
      <c r="J17" s="10" t="n">
        <f aca="false">IF(AND(ISNUMBER(I17),ISNUMBER(E17)),1,0)</f>
        <v>0</v>
      </c>
    </row>
    <row r="18" customFormat="false" ht="15" hidden="false" customHeight="false" outlineLevel="0" collapsed="false">
      <c r="A18" s="5" t="s">
        <v>86</v>
      </c>
      <c r="B18" s="5" t="s">
        <v>68</v>
      </c>
      <c r="C18" s="5" t="s">
        <v>19</v>
      </c>
      <c r="D18" s="5" t="n">
        <v>1</v>
      </c>
      <c r="E18" s="5"/>
      <c r="F18" s="7" t="n">
        <f aca="false">IF(COUNTIFS(SCORES!$A$2:$A$2000,A18,SCORES!$B$2:$B$2000,B18,SCORES!$C$2:$C$2000,C18,SCORES!$D$2:$D$2000,"&gt;=0")&gt;0,SUMIFS(SCORES!$D$2:$D$2000,SCORES!$A$2:$A$2000,A18,SCORES!$B$2:$B$2000,B18,SCORES!$C$2:$C$2000,C18),"")</f>
        <v>2</v>
      </c>
      <c r="G18" s="7" t="n">
        <f aca="false">IF(AND(ISNUMBER(F18),ISNUMBER(D18)),1,0)</f>
        <v>1</v>
      </c>
      <c r="H18" s="7" t="str">
        <f aca="false">IFERROR(INDEX(CHECKS!$F$2:$F$2000,MATCH(C18,CHECKS!$A$2:$A$2000,0))&amp;"","")</f>
        <v/>
      </c>
      <c r="I18" s="7" t="str">
        <f aca="false">IF(H18="","",IF(COUNTIFS(SCORES!$A$2:$A$2000,A18,SCORES!$B$2:$B$2000,B18,SCORES!$C$2:$C$2000,H18,SCORES!$D$2:$D$2000,"&gt;=0")&gt;0,SUMIFS(SCORES!$D$2:$D$2000,SCORES!$A$2:$A$2000,A18,SCORES!$B$2:$B$2000,B18,SCORES!$C$2:$C$2000,H18),""))</f>
        <v/>
      </c>
      <c r="J18" s="7" t="n">
        <f aca="false">IF(AND(ISNUMBER(I18),ISNUMBER(E18)),1,0)</f>
        <v>0</v>
      </c>
    </row>
    <row r="19" customFormat="false" ht="15" hidden="false" customHeight="false" outlineLevel="0" collapsed="false">
      <c r="A19" s="8" t="s">
        <v>87</v>
      </c>
      <c r="B19" s="8" t="s">
        <v>68</v>
      </c>
      <c r="C19" s="8" t="s">
        <v>19</v>
      </c>
      <c r="D19" s="8" t="n">
        <v>3</v>
      </c>
      <c r="E19" s="8"/>
      <c r="F19" s="10" t="n">
        <f aca="false">IF(COUNTIFS(SCORES!$A$2:$A$2000,A19,SCORES!$B$2:$B$2000,B19,SCORES!$C$2:$C$2000,C19,SCORES!$D$2:$D$2000,"&gt;=0")&gt;0,SUMIFS(SCORES!$D$2:$D$2000,SCORES!$A$2:$A$2000,A19,SCORES!$B$2:$B$2000,B19,SCORES!$C$2:$C$2000,C19),"")</f>
        <v>4</v>
      </c>
      <c r="G19" s="10" t="n">
        <f aca="false">IF(AND(ISNUMBER(F19),ISNUMBER(D19)),1,0)</f>
        <v>1</v>
      </c>
      <c r="H19" s="10" t="str">
        <f aca="false">IFERROR(INDEX(CHECKS!$F$2:$F$2000,MATCH(C19,CHECKS!$A$2:$A$2000,0))&amp;"","")</f>
        <v/>
      </c>
      <c r="I19" s="10" t="str">
        <f aca="false">IF(H19="","",IF(COUNTIFS(SCORES!$A$2:$A$2000,A19,SCORES!$B$2:$B$2000,B19,SCORES!$C$2:$C$2000,H19,SCORES!$D$2:$D$2000,"&gt;=0")&gt;0,SUMIFS(SCORES!$D$2:$D$2000,SCORES!$A$2:$A$2000,A19,SCORES!$B$2:$B$2000,B19,SCORES!$C$2:$C$2000,H19),""))</f>
        <v/>
      </c>
      <c r="J19" s="10" t="n">
        <f aca="false">IF(AND(ISNUMBER(I19),ISNUMBER(E19)),1,0)</f>
        <v>0</v>
      </c>
    </row>
    <row r="20" customFormat="false" ht="15" hidden="false" customHeight="false" outlineLevel="0" collapsed="false">
      <c r="A20" s="5" t="s">
        <v>88</v>
      </c>
      <c r="B20" s="5" t="s">
        <v>68</v>
      </c>
      <c r="C20" s="5" t="s">
        <v>19</v>
      </c>
      <c r="D20" s="5" t="n">
        <v>3</v>
      </c>
      <c r="E20" s="5"/>
      <c r="F20" s="7" t="n">
        <f aca="false">IF(COUNTIFS(SCORES!$A$2:$A$2000,A20,SCORES!$B$2:$B$2000,B20,SCORES!$C$2:$C$2000,C20,SCORES!$D$2:$D$2000,"&gt;=0")&gt;0,SUMIFS(SCORES!$D$2:$D$2000,SCORES!$A$2:$A$2000,A20,SCORES!$B$2:$B$2000,B20,SCORES!$C$2:$C$2000,C20),"")</f>
        <v>3</v>
      </c>
      <c r="G20" s="7" t="n">
        <f aca="false">IF(AND(ISNUMBER(F20),ISNUMBER(D20)),1,0)</f>
        <v>1</v>
      </c>
      <c r="H20" s="7" t="str">
        <f aca="false">IFERROR(INDEX(CHECKS!$F$2:$F$2000,MATCH(C20,CHECKS!$A$2:$A$2000,0))&amp;"","")</f>
        <v/>
      </c>
      <c r="I20" s="7" t="str">
        <f aca="false">IF(H20="","",IF(COUNTIFS(SCORES!$A$2:$A$2000,A20,SCORES!$B$2:$B$2000,B20,SCORES!$C$2:$C$2000,H20,SCORES!$D$2:$D$2000,"&gt;=0")&gt;0,SUMIFS(SCORES!$D$2:$D$2000,SCORES!$A$2:$A$2000,A20,SCORES!$B$2:$B$2000,B20,SCORES!$C$2:$C$2000,H20),""))</f>
        <v/>
      </c>
      <c r="J20" s="7" t="n">
        <f aca="false">IF(AND(ISNUMBER(I20),ISNUMBER(E20)),1,0)</f>
        <v>0</v>
      </c>
    </row>
    <row r="21" customFormat="false" ht="15" hidden="false" customHeight="false" outlineLevel="0" collapsed="false">
      <c r="A21" s="8" t="s">
        <v>90</v>
      </c>
      <c r="B21" s="8" t="s">
        <v>68</v>
      </c>
      <c r="C21" s="8" t="s">
        <v>19</v>
      </c>
      <c r="D21" s="8" t="n">
        <v>3</v>
      </c>
      <c r="E21" s="8"/>
      <c r="F21" s="10" t="n">
        <f aca="false">IF(COUNTIFS(SCORES!$A$2:$A$2000,A21,SCORES!$B$2:$B$2000,B21,SCORES!$C$2:$C$2000,C21,SCORES!$D$2:$D$2000,"&gt;=0")&gt;0,SUMIFS(SCORES!$D$2:$D$2000,SCORES!$A$2:$A$2000,A21,SCORES!$B$2:$B$2000,B21,SCORES!$C$2:$C$2000,C21),"")</f>
        <v>4</v>
      </c>
      <c r="G21" s="10" t="n">
        <f aca="false">IF(AND(ISNUMBER(F21),ISNUMBER(D21)),1,0)</f>
        <v>1</v>
      </c>
      <c r="H21" s="10" t="str">
        <f aca="false">IFERROR(INDEX(CHECKS!$F$2:$F$2000,MATCH(C21,CHECKS!$A$2:$A$2000,0))&amp;"","")</f>
        <v/>
      </c>
      <c r="I21" s="10" t="str">
        <f aca="false">IF(H21="","",IF(COUNTIFS(SCORES!$A$2:$A$2000,A21,SCORES!$B$2:$B$2000,B21,SCORES!$C$2:$C$2000,H21,SCORES!$D$2:$D$2000,"&gt;=0")&gt;0,SUMIFS(SCORES!$D$2:$D$2000,SCORES!$A$2:$A$2000,A21,SCORES!$B$2:$B$2000,B21,SCORES!$C$2:$C$2000,H21),""))</f>
        <v/>
      </c>
      <c r="J21" s="10" t="n">
        <f aca="false">IF(AND(ISNUMBER(I21),ISNUMBER(E21)),1,0)</f>
        <v>0</v>
      </c>
    </row>
    <row r="22" customFormat="false" ht="15" hidden="false" customHeight="false" outlineLevel="0" collapsed="false">
      <c r="A22" s="5" t="s">
        <v>92</v>
      </c>
      <c r="B22" s="5" t="s">
        <v>68</v>
      </c>
      <c r="C22" s="5" t="s">
        <v>19</v>
      </c>
      <c r="D22" s="5" t="n">
        <v>2</v>
      </c>
      <c r="E22" s="5"/>
      <c r="F22" s="7" t="n">
        <f aca="false">IF(COUNTIFS(SCORES!$A$2:$A$2000,A22,SCORES!$B$2:$B$2000,B22,SCORES!$C$2:$C$2000,C22,SCORES!$D$2:$D$2000,"&gt;=0")&gt;0,SUMIFS(SCORES!$D$2:$D$2000,SCORES!$A$2:$A$2000,A22,SCORES!$B$2:$B$2000,B22,SCORES!$C$2:$C$2000,C22),"")</f>
        <v>2</v>
      </c>
      <c r="G22" s="7" t="n">
        <f aca="false">IF(AND(ISNUMBER(F22),ISNUMBER(D22)),1,0)</f>
        <v>1</v>
      </c>
      <c r="H22" s="7" t="str">
        <f aca="false">IFERROR(INDEX(CHECKS!$F$2:$F$2000,MATCH(C22,CHECKS!$A$2:$A$2000,0))&amp;"","")</f>
        <v/>
      </c>
      <c r="I22" s="7" t="str">
        <f aca="false">IF(H22="","",IF(COUNTIFS(SCORES!$A$2:$A$2000,A22,SCORES!$B$2:$B$2000,B22,SCORES!$C$2:$C$2000,H22,SCORES!$D$2:$D$2000,"&gt;=0")&gt;0,SUMIFS(SCORES!$D$2:$D$2000,SCORES!$A$2:$A$2000,A22,SCORES!$B$2:$B$2000,B22,SCORES!$C$2:$C$2000,H22),""))</f>
        <v/>
      </c>
      <c r="J22" s="7" t="n">
        <f aca="false">IF(AND(ISNUMBER(I22),ISNUMBER(E22)),1,0)</f>
        <v>0</v>
      </c>
    </row>
    <row r="23" customFormat="false" ht="15" hidden="false" customHeight="false" outlineLevel="0" collapsed="false">
      <c r="A23" s="8" t="s">
        <v>93</v>
      </c>
      <c r="B23" s="8" t="s">
        <v>68</v>
      </c>
      <c r="C23" s="8" t="s">
        <v>19</v>
      </c>
      <c r="D23" s="8" t="n">
        <v>3</v>
      </c>
      <c r="E23" s="8"/>
      <c r="F23" s="10" t="str">
        <f aca="false">IF(COUNTIFS(SCORES!$A$2:$A$2000,A23,SCORES!$B$2:$B$2000,B23,SCORES!$C$2:$C$2000,C23,SCORES!$D$2:$D$2000,"&gt;=0")&gt;0,SUMIFS(SCORES!$D$2:$D$2000,SCORES!$A$2:$A$2000,A23,SCORES!$B$2:$B$2000,B23,SCORES!$C$2:$C$2000,C23),"")</f>
        <v/>
      </c>
      <c r="G23" s="10" t="n">
        <f aca="false">IF(AND(ISNUMBER(F23),ISNUMBER(D23)),1,0)</f>
        <v>0</v>
      </c>
      <c r="H23" s="10" t="str">
        <f aca="false">IFERROR(INDEX(CHECKS!$F$2:$F$2000,MATCH(C23,CHECKS!$A$2:$A$2000,0))&amp;"","")</f>
        <v/>
      </c>
      <c r="I23" s="10" t="str">
        <f aca="false">IF(H23="","",IF(COUNTIFS(SCORES!$A$2:$A$2000,A23,SCORES!$B$2:$B$2000,B23,SCORES!$C$2:$C$2000,H23,SCORES!$D$2:$D$2000,"&gt;=0")&gt;0,SUMIFS(SCORES!$D$2:$D$2000,SCORES!$A$2:$A$2000,A23,SCORES!$B$2:$B$2000,B23,SCORES!$C$2:$C$2000,H23),""))</f>
        <v/>
      </c>
      <c r="J23" s="10" t="n">
        <f aca="false">IF(AND(ISNUMBER(I23),ISNUMBER(E23)),1,0)</f>
        <v>0</v>
      </c>
    </row>
    <row r="24" customFormat="false" ht="15" hidden="false" customHeight="false" outlineLevel="0" collapsed="false">
      <c r="A24" s="5" t="s">
        <v>67</v>
      </c>
      <c r="B24" s="5" t="s">
        <v>94</v>
      </c>
      <c r="C24" s="5" t="s">
        <v>19</v>
      </c>
      <c r="D24" s="5" t="n">
        <v>3</v>
      </c>
      <c r="E24" s="5"/>
      <c r="F24" s="7" t="str">
        <f aca="false">IF(COUNTIFS(SCORES!$A$2:$A$2000,A24,SCORES!$B$2:$B$2000,B24,SCORES!$C$2:$C$2000,C24,SCORES!$D$2:$D$2000,"&gt;=0")&gt;0,SUMIFS(SCORES!$D$2:$D$2000,SCORES!$A$2:$A$2000,A24,SCORES!$B$2:$B$2000,B24,SCORES!$C$2:$C$2000,C24),"")</f>
        <v/>
      </c>
      <c r="G24" s="7" t="n">
        <f aca="false">IF(AND(ISNUMBER(F24),ISNUMBER(D24)),1,0)</f>
        <v>0</v>
      </c>
      <c r="H24" s="7" t="str">
        <f aca="false">IFERROR(INDEX(CHECKS!$F$2:$F$2000,MATCH(C24,CHECKS!$A$2:$A$2000,0))&amp;"","")</f>
        <v/>
      </c>
      <c r="I24" s="7" t="str">
        <f aca="false">IF(H24="","",IF(COUNTIFS(SCORES!$A$2:$A$2000,A24,SCORES!$B$2:$B$2000,B24,SCORES!$C$2:$C$2000,H24,SCORES!$D$2:$D$2000,"&gt;=0")&gt;0,SUMIFS(SCORES!$D$2:$D$2000,SCORES!$A$2:$A$2000,A24,SCORES!$B$2:$B$2000,B24,SCORES!$C$2:$C$2000,H24),""))</f>
        <v/>
      </c>
      <c r="J24" s="7" t="n">
        <f aca="false">IF(AND(ISNUMBER(I24),ISNUMBER(E24)),1,0)</f>
        <v>0</v>
      </c>
    </row>
    <row r="25" customFormat="false" ht="15" hidden="false" customHeight="false" outlineLevel="0" collapsed="false">
      <c r="A25" s="8" t="s">
        <v>69</v>
      </c>
      <c r="B25" s="8" t="s">
        <v>94</v>
      </c>
      <c r="C25" s="8" t="s">
        <v>19</v>
      </c>
      <c r="D25" s="8" t="n">
        <v>2</v>
      </c>
      <c r="E25" s="8"/>
      <c r="F25" s="10" t="n">
        <f aca="false">IF(COUNTIFS(SCORES!$A$2:$A$2000,A25,SCORES!$B$2:$B$2000,B25,SCORES!$C$2:$C$2000,C25,SCORES!$D$2:$D$2000,"&gt;=0")&gt;0,SUMIFS(SCORES!$D$2:$D$2000,SCORES!$A$2:$A$2000,A25,SCORES!$B$2:$B$2000,B25,SCORES!$C$2:$C$2000,C25),"")</f>
        <v>2</v>
      </c>
      <c r="G25" s="10" t="n">
        <f aca="false">IF(AND(ISNUMBER(F25),ISNUMBER(D25)),1,0)</f>
        <v>1</v>
      </c>
      <c r="H25" s="10" t="str">
        <f aca="false">IFERROR(INDEX(CHECKS!$F$2:$F$2000,MATCH(C25,CHECKS!$A$2:$A$2000,0))&amp;"","")</f>
        <v/>
      </c>
      <c r="I25" s="10" t="str">
        <f aca="false">IF(H25="","",IF(COUNTIFS(SCORES!$A$2:$A$2000,A25,SCORES!$B$2:$B$2000,B25,SCORES!$C$2:$C$2000,H25,SCORES!$D$2:$D$2000,"&gt;=0")&gt;0,SUMIFS(SCORES!$D$2:$D$2000,SCORES!$A$2:$A$2000,A25,SCORES!$B$2:$B$2000,B25,SCORES!$C$2:$C$2000,H25),""))</f>
        <v/>
      </c>
      <c r="J25" s="10" t="n">
        <f aca="false">IF(AND(ISNUMBER(I25),ISNUMBER(E25)),1,0)</f>
        <v>0</v>
      </c>
    </row>
    <row r="26" customFormat="false" ht="15" hidden="false" customHeight="false" outlineLevel="0" collapsed="false">
      <c r="A26" s="5" t="s">
        <v>71</v>
      </c>
      <c r="B26" s="5" t="s">
        <v>94</v>
      </c>
      <c r="C26" s="5" t="s">
        <v>19</v>
      </c>
      <c r="D26" s="5" t="n">
        <v>3</v>
      </c>
      <c r="E26" s="5"/>
      <c r="F26" s="7" t="n">
        <f aca="false">IF(COUNTIFS(SCORES!$A$2:$A$2000,A26,SCORES!$B$2:$B$2000,B26,SCORES!$C$2:$C$2000,C26,SCORES!$D$2:$D$2000,"&gt;=0")&gt;0,SUMIFS(SCORES!$D$2:$D$2000,SCORES!$A$2:$A$2000,A26,SCORES!$B$2:$B$2000,B26,SCORES!$C$2:$C$2000,C26),"")</f>
        <v>4</v>
      </c>
      <c r="G26" s="7" t="n">
        <f aca="false">IF(AND(ISNUMBER(F26),ISNUMBER(D26)),1,0)</f>
        <v>1</v>
      </c>
      <c r="H26" s="7" t="str">
        <f aca="false">IFERROR(INDEX(CHECKS!$F$2:$F$2000,MATCH(C26,CHECKS!$A$2:$A$2000,0))&amp;"","")</f>
        <v/>
      </c>
      <c r="I26" s="7" t="str">
        <f aca="false">IF(H26="","",IF(COUNTIFS(SCORES!$A$2:$A$2000,A26,SCORES!$B$2:$B$2000,B26,SCORES!$C$2:$C$2000,H26,SCORES!$D$2:$D$2000,"&gt;=0")&gt;0,SUMIFS(SCORES!$D$2:$D$2000,SCORES!$A$2:$A$2000,A26,SCORES!$B$2:$B$2000,B26,SCORES!$C$2:$C$2000,H26),""))</f>
        <v/>
      </c>
      <c r="J26" s="7" t="n">
        <f aca="false">IF(AND(ISNUMBER(I26),ISNUMBER(E26)),1,0)</f>
        <v>0</v>
      </c>
    </row>
    <row r="27" customFormat="false" ht="15" hidden="false" customHeight="false" outlineLevel="0" collapsed="false">
      <c r="A27" s="8" t="s">
        <v>72</v>
      </c>
      <c r="B27" s="8" t="s">
        <v>94</v>
      </c>
      <c r="C27" s="8" t="s">
        <v>19</v>
      </c>
      <c r="D27" s="8" t="n">
        <v>3</v>
      </c>
      <c r="E27" s="8"/>
      <c r="F27" s="10" t="n">
        <f aca="false">IF(COUNTIFS(SCORES!$A$2:$A$2000,A27,SCORES!$B$2:$B$2000,B27,SCORES!$C$2:$C$2000,C27,SCORES!$D$2:$D$2000,"&gt;=0")&gt;0,SUMIFS(SCORES!$D$2:$D$2000,SCORES!$A$2:$A$2000,A27,SCORES!$B$2:$B$2000,B27,SCORES!$C$2:$C$2000,C27),"")</f>
        <v>3</v>
      </c>
      <c r="G27" s="10" t="n">
        <f aca="false">IF(AND(ISNUMBER(F27),ISNUMBER(D27)),1,0)</f>
        <v>1</v>
      </c>
      <c r="H27" s="10" t="str">
        <f aca="false">IFERROR(INDEX(CHECKS!$F$2:$F$2000,MATCH(C27,CHECKS!$A$2:$A$2000,0))&amp;"","")</f>
        <v/>
      </c>
      <c r="I27" s="10" t="str">
        <f aca="false">IF(H27="","",IF(COUNTIFS(SCORES!$A$2:$A$2000,A27,SCORES!$B$2:$B$2000,B27,SCORES!$C$2:$C$2000,H27,SCORES!$D$2:$D$2000,"&gt;=0")&gt;0,SUMIFS(SCORES!$D$2:$D$2000,SCORES!$A$2:$A$2000,A27,SCORES!$B$2:$B$2000,B27,SCORES!$C$2:$C$2000,H27),""))</f>
        <v/>
      </c>
      <c r="J27" s="10" t="n">
        <f aca="false">IF(AND(ISNUMBER(I27),ISNUMBER(E27)),1,0)</f>
        <v>0</v>
      </c>
    </row>
    <row r="28" customFormat="false" ht="15" hidden="false" customHeight="false" outlineLevel="0" collapsed="false">
      <c r="A28" s="5" t="s">
        <v>73</v>
      </c>
      <c r="B28" s="5" t="s">
        <v>94</v>
      </c>
      <c r="C28" s="5" t="s">
        <v>19</v>
      </c>
      <c r="D28" s="5" t="n">
        <v>3</v>
      </c>
      <c r="E28" s="5"/>
      <c r="F28" s="7" t="n">
        <f aca="false">IF(COUNTIFS(SCORES!$A$2:$A$2000,A28,SCORES!$B$2:$B$2000,B28,SCORES!$C$2:$C$2000,C28,SCORES!$D$2:$D$2000,"&gt;=0")&gt;0,SUMIFS(SCORES!$D$2:$D$2000,SCORES!$A$2:$A$2000,A28,SCORES!$B$2:$B$2000,B28,SCORES!$C$2:$C$2000,C28),"")</f>
        <v>4</v>
      </c>
      <c r="G28" s="7" t="n">
        <f aca="false">IF(AND(ISNUMBER(F28),ISNUMBER(D28)),1,0)</f>
        <v>1</v>
      </c>
      <c r="H28" s="7" t="str">
        <f aca="false">IFERROR(INDEX(CHECKS!$F$2:$F$2000,MATCH(C28,CHECKS!$A$2:$A$2000,0))&amp;"","")</f>
        <v/>
      </c>
      <c r="I28" s="7" t="str">
        <f aca="false">IF(H28="","",IF(COUNTIFS(SCORES!$A$2:$A$2000,A28,SCORES!$B$2:$B$2000,B28,SCORES!$C$2:$C$2000,H28,SCORES!$D$2:$D$2000,"&gt;=0")&gt;0,SUMIFS(SCORES!$D$2:$D$2000,SCORES!$A$2:$A$2000,A28,SCORES!$B$2:$B$2000,B28,SCORES!$C$2:$C$2000,H28),""))</f>
        <v/>
      </c>
      <c r="J28" s="7" t="n">
        <f aca="false">IF(AND(ISNUMBER(I28),ISNUMBER(E28)),1,0)</f>
        <v>0</v>
      </c>
    </row>
    <row r="29" customFormat="false" ht="15" hidden="false" customHeight="false" outlineLevel="0" collapsed="false">
      <c r="A29" s="8" t="s">
        <v>74</v>
      </c>
      <c r="B29" s="8" t="s">
        <v>94</v>
      </c>
      <c r="C29" s="8" t="s">
        <v>19</v>
      </c>
      <c r="D29" s="8" t="n">
        <v>2</v>
      </c>
      <c r="E29" s="8"/>
      <c r="F29" s="10" t="n">
        <f aca="false">IF(COUNTIFS(SCORES!$A$2:$A$2000,A29,SCORES!$B$2:$B$2000,B29,SCORES!$C$2:$C$2000,C29,SCORES!$D$2:$D$2000,"&gt;=0")&gt;0,SUMIFS(SCORES!$D$2:$D$2000,SCORES!$A$2:$A$2000,A29,SCORES!$B$2:$B$2000,B29,SCORES!$C$2:$C$2000,C29),"")</f>
        <v>2</v>
      </c>
      <c r="G29" s="10" t="n">
        <f aca="false">IF(AND(ISNUMBER(F29),ISNUMBER(D29)),1,0)</f>
        <v>1</v>
      </c>
      <c r="H29" s="10" t="str">
        <f aca="false">IFERROR(INDEX(CHECKS!$F$2:$F$2000,MATCH(C29,CHECKS!$A$2:$A$2000,0))&amp;"","")</f>
        <v/>
      </c>
      <c r="I29" s="10" t="str">
        <f aca="false">IF(H29="","",IF(COUNTIFS(SCORES!$A$2:$A$2000,A29,SCORES!$B$2:$B$2000,B29,SCORES!$C$2:$C$2000,H29,SCORES!$D$2:$D$2000,"&gt;=0")&gt;0,SUMIFS(SCORES!$D$2:$D$2000,SCORES!$A$2:$A$2000,A29,SCORES!$B$2:$B$2000,B29,SCORES!$C$2:$C$2000,H29),""))</f>
        <v/>
      </c>
      <c r="J29" s="10" t="n">
        <f aca="false">IF(AND(ISNUMBER(I29),ISNUMBER(E29)),1,0)</f>
        <v>0</v>
      </c>
    </row>
    <row r="30" customFormat="false" ht="15" hidden="false" customHeight="false" outlineLevel="0" collapsed="false">
      <c r="A30" s="5" t="s">
        <v>75</v>
      </c>
      <c r="B30" s="5" t="s">
        <v>94</v>
      </c>
      <c r="C30" s="5" t="s">
        <v>19</v>
      </c>
      <c r="D30" s="5" t="n">
        <v>0</v>
      </c>
      <c r="E30" s="5"/>
      <c r="F30" s="7" t="n">
        <f aca="false">IF(COUNTIFS(SCORES!$A$2:$A$2000,A30,SCORES!$B$2:$B$2000,B30,SCORES!$C$2:$C$2000,C30,SCORES!$D$2:$D$2000,"&gt;=0")&gt;0,SUMIFS(SCORES!$D$2:$D$2000,SCORES!$A$2:$A$2000,A30,SCORES!$B$2:$B$2000,B30,SCORES!$C$2:$C$2000,C30),"")</f>
        <v>3</v>
      </c>
      <c r="G30" s="7" t="n">
        <f aca="false">IF(AND(ISNUMBER(F30),ISNUMBER(D30)),1,0)</f>
        <v>1</v>
      </c>
      <c r="H30" s="7" t="str">
        <f aca="false">IFERROR(INDEX(CHECKS!$F$2:$F$2000,MATCH(C30,CHECKS!$A$2:$A$2000,0))&amp;"","")</f>
        <v/>
      </c>
      <c r="I30" s="7" t="str">
        <f aca="false">IF(H30="","",IF(COUNTIFS(SCORES!$A$2:$A$2000,A30,SCORES!$B$2:$B$2000,B30,SCORES!$C$2:$C$2000,H30,SCORES!$D$2:$D$2000,"&gt;=0")&gt;0,SUMIFS(SCORES!$D$2:$D$2000,SCORES!$A$2:$A$2000,A30,SCORES!$B$2:$B$2000,B30,SCORES!$C$2:$C$2000,H30),""))</f>
        <v/>
      </c>
      <c r="J30" s="7" t="n">
        <f aca="false">IF(AND(ISNUMBER(I30),ISNUMBER(E30)),1,0)</f>
        <v>0</v>
      </c>
    </row>
    <row r="31" customFormat="false" ht="15" hidden="false" customHeight="false" outlineLevel="0" collapsed="false">
      <c r="A31" s="8" t="s">
        <v>76</v>
      </c>
      <c r="B31" s="8" t="s">
        <v>94</v>
      </c>
      <c r="C31" s="8" t="s">
        <v>19</v>
      </c>
      <c r="D31" s="8" t="n">
        <v>3</v>
      </c>
      <c r="E31" s="8"/>
      <c r="F31" s="10" t="n">
        <f aca="false">IF(COUNTIFS(SCORES!$A$2:$A$2000,A31,SCORES!$B$2:$B$2000,B31,SCORES!$C$2:$C$2000,C31,SCORES!$D$2:$D$2000,"&gt;=0")&gt;0,SUMIFS(SCORES!$D$2:$D$2000,SCORES!$A$2:$A$2000,A31,SCORES!$B$2:$B$2000,B31,SCORES!$C$2:$C$2000,C31),"")</f>
        <v>1</v>
      </c>
      <c r="G31" s="10" t="n">
        <f aca="false">IF(AND(ISNUMBER(F31),ISNUMBER(D31)),1,0)</f>
        <v>1</v>
      </c>
      <c r="H31" s="10" t="str">
        <f aca="false">IFERROR(INDEX(CHECKS!$F$2:$F$2000,MATCH(C31,CHECKS!$A$2:$A$2000,0))&amp;"","")</f>
        <v/>
      </c>
      <c r="I31" s="10" t="str">
        <f aca="false">IF(H31="","",IF(COUNTIFS(SCORES!$A$2:$A$2000,A31,SCORES!$B$2:$B$2000,B31,SCORES!$C$2:$C$2000,H31,SCORES!$D$2:$D$2000,"&gt;=0")&gt;0,SUMIFS(SCORES!$D$2:$D$2000,SCORES!$A$2:$A$2000,A31,SCORES!$B$2:$B$2000,B31,SCORES!$C$2:$C$2000,H31),""))</f>
        <v/>
      </c>
      <c r="J31" s="10" t="n">
        <f aca="false">IF(AND(ISNUMBER(I31),ISNUMBER(E31)),1,0)</f>
        <v>0</v>
      </c>
    </row>
    <row r="32" customFormat="false" ht="15" hidden="false" customHeight="false" outlineLevel="0" collapsed="false">
      <c r="A32" s="5" t="s">
        <v>77</v>
      </c>
      <c r="B32" s="5" t="s">
        <v>94</v>
      </c>
      <c r="C32" s="5" t="s">
        <v>19</v>
      </c>
      <c r="D32" s="5" t="n">
        <v>2</v>
      </c>
      <c r="E32" s="5"/>
      <c r="F32" s="7" t="n">
        <f aca="false">IF(COUNTIFS(SCORES!$A$2:$A$2000,A32,SCORES!$B$2:$B$2000,B32,SCORES!$C$2:$C$2000,C32,SCORES!$D$2:$D$2000,"&gt;=0")&gt;0,SUMIFS(SCORES!$D$2:$D$2000,SCORES!$A$2:$A$2000,A32,SCORES!$B$2:$B$2000,B32,SCORES!$C$2:$C$2000,C32),"")</f>
        <v>4</v>
      </c>
      <c r="G32" s="7" t="n">
        <f aca="false">IF(AND(ISNUMBER(F32),ISNUMBER(D32)),1,0)</f>
        <v>1</v>
      </c>
      <c r="H32" s="7" t="str">
        <f aca="false">IFERROR(INDEX(CHECKS!$F$2:$F$2000,MATCH(C32,CHECKS!$A$2:$A$2000,0))&amp;"","")</f>
        <v/>
      </c>
      <c r="I32" s="7" t="str">
        <f aca="false">IF(H32="","",IF(COUNTIFS(SCORES!$A$2:$A$2000,A32,SCORES!$B$2:$B$2000,B32,SCORES!$C$2:$C$2000,H32,SCORES!$D$2:$D$2000,"&gt;=0")&gt;0,SUMIFS(SCORES!$D$2:$D$2000,SCORES!$A$2:$A$2000,A32,SCORES!$B$2:$B$2000,B32,SCORES!$C$2:$C$2000,H32),""))</f>
        <v/>
      </c>
      <c r="J32" s="7" t="n">
        <f aca="false">IF(AND(ISNUMBER(I32),ISNUMBER(E32)),1,0)</f>
        <v>0</v>
      </c>
    </row>
    <row r="33" customFormat="false" ht="15" hidden="false" customHeight="false" outlineLevel="0" collapsed="false">
      <c r="A33" s="8" t="s">
        <v>78</v>
      </c>
      <c r="B33" s="8" t="s">
        <v>94</v>
      </c>
      <c r="C33" s="8" t="s">
        <v>19</v>
      </c>
      <c r="D33" s="8" t="n">
        <v>3</v>
      </c>
      <c r="E33" s="8"/>
      <c r="F33" s="10" t="n">
        <f aca="false">IF(COUNTIFS(SCORES!$A$2:$A$2000,A33,SCORES!$B$2:$B$2000,B33,SCORES!$C$2:$C$2000,C33,SCORES!$D$2:$D$2000,"&gt;=0")&gt;0,SUMIFS(SCORES!$D$2:$D$2000,SCORES!$A$2:$A$2000,A33,SCORES!$B$2:$B$2000,B33,SCORES!$C$2:$C$2000,C33),"")</f>
        <v>2</v>
      </c>
      <c r="G33" s="10" t="n">
        <f aca="false">IF(AND(ISNUMBER(F33),ISNUMBER(D33)),1,0)</f>
        <v>1</v>
      </c>
      <c r="H33" s="10" t="str">
        <f aca="false">IFERROR(INDEX(CHECKS!$F$2:$F$2000,MATCH(C33,CHECKS!$A$2:$A$2000,0))&amp;"","")</f>
        <v/>
      </c>
      <c r="I33" s="10" t="str">
        <f aca="false">IF(H33="","",IF(COUNTIFS(SCORES!$A$2:$A$2000,A33,SCORES!$B$2:$B$2000,B33,SCORES!$C$2:$C$2000,H33,SCORES!$D$2:$D$2000,"&gt;=0")&gt;0,SUMIFS(SCORES!$D$2:$D$2000,SCORES!$A$2:$A$2000,A33,SCORES!$B$2:$B$2000,B33,SCORES!$C$2:$C$2000,H33),""))</f>
        <v/>
      </c>
      <c r="J33" s="10" t="n">
        <f aca="false">IF(AND(ISNUMBER(I33),ISNUMBER(E33)),1,0)</f>
        <v>0</v>
      </c>
    </row>
    <row r="34" customFormat="false" ht="15" hidden="false" customHeight="false" outlineLevel="0" collapsed="false">
      <c r="A34" s="5" t="s">
        <v>79</v>
      </c>
      <c r="B34" s="5" t="s">
        <v>94</v>
      </c>
      <c r="C34" s="5" t="s">
        <v>19</v>
      </c>
      <c r="D34" s="5" t="n">
        <v>2</v>
      </c>
      <c r="E34" s="5"/>
      <c r="F34" s="7" t="n">
        <f aca="false">IF(COUNTIFS(SCORES!$A$2:$A$2000,A34,SCORES!$B$2:$B$2000,B34,SCORES!$C$2:$C$2000,C34,SCORES!$D$2:$D$2000,"&gt;=0")&gt;0,SUMIFS(SCORES!$D$2:$D$2000,SCORES!$A$2:$A$2000,A34,SCORES!$B$2:$B$2000,B34,SCORES!$C$2:$C$2000,C34),"")</f>
        <v>5</v>
      </c>
      <c r="G34" s="7" t="n">
        <f aca="false">IF(AND(ISNUMBER(F34),ISNUMBER(D34)),1,0)</f>
        <v>1</v>
      </c>
      <c r="H34" s="7" t="str">
        <f aca="false">IFERROR(INDEX(CHECKS!$F$2:$F$2000,MATCH(C34,CHECKS!$A$2:$A$2000,0))&amp;"","")</f>
        <v/>
      </c>
      <c r="I34" s="7" t="str">
        <f aca="false">IF(H34="","",IF(COUNTIFS(SCORES!$A$2:$A$2000,A34,SCORES!$B$2:$B$2000,B34,SCORES!$C$2:$C$2000,H34,SCORES!$D$2:$D$2000,"&gt;=0")&gt;0,SUMIFS(SCORES!$D$2:$D$2000,SCORES!$A$2:$A$2000,A34,SCORES!$B$2:$B$2000,B34,SCORES!$C$2:$C$2000,H34),""))</f>
        <v/>
      </c>
      <c r="J34" s="7" t="n">
        <f aca="false">IF(AND(ISNUMBER(I34),ISNUMBER(E34)),1,0)</f>
        <v>0</v>
      </c>
    </row>
    <row r="35" customFormat="false" ht="15" hidden="false" customHeight="false" outlineLevel="0" collapsed="false">
      <c r="A35" s="8" t="s">
        <v>80</v>
      </c>
      <c r="B35" s="8" t="s">
        <v>94</v>
      </c>
      <c r="C35" s="8" t="s">
        <v>19</v>
      </c>
      <c r="D35" s="8" t="n">
        <v>3</v>
      </c>
      <c r="E35" s="8"/>
      <c r="F35" s="10" t="n">
        <f aca="false">IF(COUNTIFS(SCORES!$A$2:$A$2000,A35,SCORES!$B$2:$B$2000,B35,SCORES!$C$2:$C$2000,C35,SCORES!$D$2:$D$2000,"&gt;=0")&gt;0,SUMIFS(SCORES!$D$2:$D$2000,SCORES!$A$2:$A$2000,A35,SCORES!$B$2:$B$2000,B35,SCORES!$C$2:$C$2000,C35),"")</f>
        <v>3</v>
      </c>
      <c r="G35" s="10" t="n">
        <f aca="false">IF(AND(ISNUMBER(F35),ISNUMBER(D35)),1,0)</f>
        <v>1</v>
      </c>
      <c r="H35" s="10" t="str">
        <f aca="false">IFERROR(INDEX(CHECKS!$F$2:$F$2000,MATCH(C35,CHECKS!$A$2:$A$2000,0))&amp;"","")</f>
        <v/>
      </c>
      <c r="I35" s="10" t="str">
        <f aca="false">IF(H35="","",IF(COUNTIFS(SCORES!$A$2:$A$2000,A35,SCORES!$B$2:$B$2000,B35,SCORES!$C$2:$C$2000,H35,SCORES!$D$2:$D$2000,"&gt;=0")&gt;0,SUMIFS(SCORES!$D$2:$D$2000,SCORES!$A$2:$A$2000,A35,SCORES!$B$2:$B$2000,B35,SCORES!$C$2:$C$2000,H35),""))</f>
        <v/>
      </c>
      <c r="J35" s="10" t="n">
        <f aca="false">IF(AND(ISNUMBER(I35),ISNUMBER(E35)),1,0)</f>
        <v>0</v>
      </c>
    </row>
    <row r="36" customFormat="false" ht="15" hidden="false" customHeight="false" outlineLevel="0" collapsed="false">
      <c r="A36" s="5" t="s">
        <v>81</v>
      </c>
      <c r="B36" s="5" t="s">
        <v>94</v>
      </c>
      <c r="C36" s="5" t="s">
        <v>19</v>
      </c>
      <c r="D36" s="5" t="n">
        <v>3</v>
      </c>
      <c r="E36" s="5"/>
      <c r="F36" s="7" t="n">
        <f aca="false">IF(COUNTIFS(SCORES!$A$2:$A$2000,A36,SCORES!$B$2:$B$2000,B36,SCORES!$C$2:$C$2000,C36,SCORES!$D$2:$D$2000,"&gt;=0")&gt;0,SUMIFS(SCORES!$D$2:$D$2000,SCORES!$A$2:$A$2000,A36,SCORES!$B$2:$B$2000,B36,SCORES!$C$2:$C$2000,C36),"")</f>
        <v>0</v>
      </c>
      <c r="G36" s="7" t="n">
        <f aca="false">IF(AND(ISNUMBER(F36),ISNUMBER(D36)),1,0)</f>
        <v>1</v>
      </c>
      <c r="H36" s="7" t="str">
        <f aca="false">IFERROR(INDEX(CHECKS!$F$2:$F$2000,MATCH(C36,CHECKS!$A$2:$A$2000,0))&amp;"","")</f>
        <v/>
      </c>
      <c r="I36" s="7" t="str">
        <f aca="false">IF(H36="","",IF(COUNTIFS(SCORES!$A$2:$A$2000,A36,SCORES!$B$2:$B$2000,B36,SCORES!$C$2:$C$2000,H36,SCORES!$D$2:$D$2000,"&gt;=0")&gt;0,SUMIFS(SCORES!$D$2:$D$2000,SCORES!$A$2:$A$2000,A36,SCORES!$B$2:$B$2000,B36,SCORES!$C$2:$C$2000,H36),""))</f>
        <v/>
      </c>
      <c r="J36" s="7" t="n">
        <f aca="false">IF(AND(ISNUMBER(I36),ISNUMBER(E36)),1,0)</f>
        <v>0</v>
      </c>
    </row>
    <row r="37" customFormat="false" ht="15" hidden="false" customHeight="false" outlineLevel="0" collapsed="false">
      <c r="A37" s="8" t="s">
        <v>82</v>
      </c>
      <c r="B37" s="8" t="s">
        <v>94</v>
      </c>
      <c r="C37" s="8" t="s">
        <v>19</v>
      </c>
      <c r="D37" s="8" t="n">
        <v>3</v>
      </c>
      <c r="E37" s="8"/>
      <c r="F37" s="10" t="str">
        <f aca="false">IF(COUNTIFS(SCORES!$A$2:$A$2000,A37,SCORES!$B$2:$B$2000,B37,SCORES!$C$2:$C$2000,C37,SCORES!$D$2:$D$2000,"&gt;=0")&gt;0,SUMIFS(SCORES!$D$2:$D$2000,SCORES!$A$2:$A$2000,A37,SCORES!$B$2:$B$2000,B37,SCORES!$C$2:$C$2000,C37),"")</f>
        <v/>
      </c>
      <c r="G37" s="10" t="n">
        <f aca="false">IF(AND(ISNUMBER(F37),ISNUMBER(D37)),1,0)</f>
        <v>0</v>
      </c>
      <c r="H37" s="10" t="str">
        <f aca="false">IFERROR(INDEX(CHECKS!$F$2:$F$2000,MATCH(C37,CHECKS!$A$2:$A$2000,0))&amp;"","")</f>
        <v/>
      </c>
      <c r="I37" s="10" t="str">
        <f aca="false">IF(H37="","",IF(COUNTIFS(SCORES!$A$2:$A$2000,A37,SCORES!$B$2:$B$2000,B37,SCORES!$C$2:$C$2000,H37,SCORES!$D$2:$D$2000,"&gt;=0")&gt;0,SUMIFS(SCORES!$D$2:$D$2000,SCORES!$A$2:$A$2000,A37,SCORES!$B$2:$B$2000,B37,SCORES!$C$2:$C$2000,H37),""))</f>
        <v/>
      </c>
      <c r="J37" s="10" t="n">
        <f aca="false">IF(AND(ISNUMBER(I37),ISNUMBER(E37)),1,0)</f>
        <v>0</v>
      </c>
    </row>
    <row r="38" customFormat="false" ht="15" hidden="false" customHeight="false" outlineLevel="0" collapsed="false">
      <c r="A38" s="5" t="s">
        <v>83</v>
      </c>
      <c r="B38" s="5" t="s">
        <v>94</v>
      </c>
      <c r="C38" s="5" t="s">
        <v>19</v>
      </c>
      <c r="D38" s="5" t="n">
        <v>3</v>
      </c>
      <c r="E38" s="5"/>
      <c r="F38" s="7" t="n">
        <f aca="false">IF(COUNTIFS(SCORES!$A$2:$A$2000,A38,SCORES!$B$2:$B$2000,B38,SCORES!$C$2:$C$2000,C38,SCORES!$D$2:$D$2000,"&gt;=0")&gt;0,SUMIFS(SCORES!$D$2:$D$2000,SCORES!$A$2:$A$2000,A38,SCORES!$B$2:$B$2000,B38,SCORES!$C$2:$C$2000,C38),"")</f>
        <v>5</v>
      </c>
      <c r="G38" s="7" t="n">
        <f aca="false">IF(AND(ISNUMBER(F38),ISNUMBER(D38)),1,0)</f>
        <v>1</v>
      </c>
      <c r="H38" s="7" t="str">
        <f aca="false">IFERROR(INDEX(CHECKS!$F$2:$F$2000,MATCH(C38,CHECKS!$A$2:$A$2000,0))&amp;"","")</f>
        <v/>
      </c>
      <c r="I38" s="7" t="str">
        <f aca="false">IF(H38="","",IF(COUNTIFS(SCORES!$A$2:$A$2000,A38,SCORES!$B$2:$B$2000,B38,SCORES!$C$2:$C$2000,H38,SCORES!$D$2:$D$2000,"&gt;=0")&gt;0,SUMIFS(SCORES!$D$2:$D$2000,SCORES!$A$2:$A$2000,A38,SCORES!$B$2:$B$2000,B38,SCORES!$C$2:$C$2000,H38),""))</f>
        <v/>
      </c>
      <c r="J38" s="7" t="n">
        <f aca="false">IF(AND(ISNUMBER(I38),ISNUMBER(E38)),1,0)</f>
        <v>0</v>
      </c>
    </row>
    <row r="39" customFormat="false" ht="15" hidden="false" customHeight="false" outlineLevel="0" collapsed="false">
      <c r="A39" s="8" t="s">
        <v>84</v>
      </c>
      <c r="B39" s="8" t="s">
        <v>94</v>
      </c>
      <c r="C39" s="8" t="s">
        <v>19</v>
      </c>
      <c r="D39" s="8" t="n">
        <v>2</v>
      </c>
      <c r="E39" s="8"/>
      <c r="F39" s="10" t="n">
        <f aca="false">IF(COUNTIFS(SCORES!$A$2:$A$2000,A39,SCORES!$B$2:$B$2000,B39,SCORES!$C$2:$C$2000,C39,SCORES!$D$2:$D$2000,"&gt;=0")&gt;0,SUMIFS(SCORES!$D$2:$D$2000,SCORES!$A$2:$A$2000,A39,SCORES!$B$2:$B$2000,B39,SCORES!$C$2:$C$2000,C39),"")</f>
        <v>1</v>
      </c>
      <c r="G39" s="10" t="n">
        <f aca="false">IF(AND(ISNUMBER(F39),ISNUMBER(D39)),1,0)</f>
        <v>1</v>
      </c>
      <c r="H39" s="10" t="str">
        <f aca="false">IFERROR(INDEX(CHECKS!$F$2:$F$2000,MATCH(C39,CHECKS!$A$2:$A$2000,0))&amp;"","")</f>
        <v/>
      </c>
      <c r="I39" s="10" t="str">
        <f aca="false">IF(H39="","",IF(COUNTIFS(SCORES!$A$2:$A$2000,A39,SCORES!$B$2:$B$2000,B39,SCORES!$C$2:$C$2000,H39,SCORES!$D$2:$D$2000,"&gt;=0")&gt;0,SUMIFS(SCORES!$D$2:$D$2000,SCORES!$A$2:$A$2000,A39,SCORES!$B$2:$B$2000,B39,SCORES!$C$2:$C$2000,H39),""))</f>
        <v/>
      </c>
      <c r="J39" s="10" t="n">
        <f aca="false">IF(AND(ISNUMBER(I39),ISNUMBER(E39)),1,0)</f>
        <v>0</v>
      </c>
    </row>
    <row r="40" customFormat="false" ht="15" hidden="false" customHeight="false" outlineLevel="0" collapsed="false">
      <c r="A40" s="5" t="s">
        <v>85</v>
      </c>
      <c r="B40" s="5" t="s">
        <v>94</v>
      </c>
      <c r="C40" s="5" t="s">
        <v>19</v>
      </c>
      <c r="D40" s="5" t="n">
        <v>3</v>
      </c>
      <c r="E40" s="5"/>
      <c r="F40" s="7" t="n">
        <f aca="false">IF(COUNTIFS(SCORES!$A$2:$A$2000,A40,SCORES!$B$2:$B$2000,B40,SCORES!$C$2:$C$2000,C40,SCORES!$D$2:$D$2000,"&gt;=0")&gt;0,SUMIFS(SCORES!$D$2:$D$2000,SCORES!$A$2:$A$2000,A40,SCORES!$B$2:$B$2000,B40,SCORES!$C$2:$C$2000,C40),"")</f>
        <v>4</v>
      </c>
      <c r="G40" s="7" t="n">
        <f aca="false">IF(AND(ISNUMBER(F40),ISNUMBER(D40)),1,0)</f>
        <v>1</v>
      </c>
      <c r="H40" s="7" t="str">
        <f aca="false">IFERROR(INDEX(CHECKS!$F$2:$F$2000,MATCH(C40,CHECKS!$A$2:$A$2000,0))&amp;"","")</f>
        <v/>
      </c>
      <c r="I40" s="7" t="str">
        <f aca="false">IF(H40="","",IF(COUNTIFS(SCORES!$A$2:$A$2000,A40,SCORES!$B$2:$B$2000,B40,SCORES!$C$2:$C$2000,H40,SCORES!$D$2:$D$2000,"&gt;=0")&gt;0,SUMIFS(SCORES!$D$2:$D$2000,SCORES!$A$2:$A$2000,A40,SCORES!$B$2:$B$2000,B40,SCORES!$C$2:$C$2000,H40),""))</f>
        <v/>
      </c>
      <c r="J40" s="7" t="n">
        <f aca="false">IF(AND(ISNUMBER(I40),ISNUMBER(E40)),1,0)</f>
        <v>0</v>
      </c>
    </row>
    <row r="41" customFormat="false" ht="15" hidden="false" customHeight="false" outlineLevel="0" collapsed="false">
      <c r="A41" s="8" t="s">
        <v>86</v>
      </c>
      <c r="B41" s="8" t="s">
        <v>94</v>
      </c>
      <c r="C41" s="8" t="s">
        <v>19</v>
      </c>
      <c r="D41" s="8" t="n">
        <v>3</v>
      </c>
      <c r="E41" s="8"/>
      <c r="F41" s="10" t="n">
        <f aca="false">IF(COUNTIFS(SCORES!$A$2:$A$2000,A41,SCORES!$B$2:$B$2000,B41,SCORES!$C$2:$C$2000,C41,SCORES!$D$2:$D$2000,"&gt;=0")&gt;0,SUMIFS(SCORES!$D$2:$D$2000,SCORES!$A$2:$A$2000,A41,SCORES!$B$2:$B$2000,B41,SCORES!$C$2:$C$2000,C41),"")</f>
        <v>3</v>
      </c>
      <c r="G41" s="10" t="n">
        <f aca="false">IF(AND(ISNUMBER(F41),ISNUMBER(D41)),1,0)</f>
        <v>1</v>
      </c>
      <c r="H41" s="10" t="str">
        <f aca="false">IFERROR(INDEX(CHECKS!$F$2:$F$2000,MATCH(C41,CHECKS!$A$2:$A$2000,0))&amp;"","")</f>
        <v/>
      </c>
      <c r="I41" s="10" t="str">
        <f aca="false">IF(H41="","",IF(COUNTIFS(SCORES!$A$2:$A$2000,A41,SCORES!$B$2:$B$2000,B41,SCORES!$C$2:$C$2000,H41,SCORES!$D$2:$D$2000,"&gt;=0")&gt;0,SUMIFS(SCORES!$D$2:$D$2000,SCORES!$A$2:$A$2000,A41,SCORES!$B$2:$B$2000,B41,SCORES!$C$2:$C$2000,H41),""))</f>
        <v/>
      </c>
      <c r="J41" s="10" t="n">
        <f aca="false">IF(AND(ISNUMBER(I41),ISNUMBER(E41)),1,0)</f>
        <v>0</v>
      </c>
    </row>
    <row r="42" customFormat="false" ht="15" hidden="false" customHeight="false" outlineLevel="0" collapsed="false">
      <c r="A42" s="5" t="s">
        <v>87</v>
      </c>
      <c r="B42" s="5" t="s">
        <v>94</v>
      </c>
      <c r="C42" s="5" t="s">
        <v>19</v>
      </c>
      <c r="D42" s="5" t="n">
        <v>1</v>
      </c>
      <c r="E42" s="5"/>
      <c r="F42" s="7" t="n">
        <f aca="false">IF(COUNTIFS(SCORES!$A$2:$A$2000,A42,SCORES!$B$2:$B$2000,B42,SCORES!$C$2:$C$2000,C42,SCORES!$D$2:$D$2000,"&gt;=0")&gt;0,SUMIFS(SCORES!$D$2:$D$2000,SCORES!$A$2:$A$2000,A42,SCORES!$B$2:$B$2000,B42,SCORES!$C$2:$C$2000,C42),"")</f>
        <v>0</v>
      </c>
      <c r="G42" s="7" t="n">
        <f aca="false">IF(AND(ISNUMBER(F42),ISNUMBER(D42)),1,0)</f>
        <v>1</v>
      </c>
      <c r="H42" s="7" t="str">
        <f aca="false">IFERROR(INDEX(CHECKS!$F$2:$F$2000,MATCH(C42,CHECKS!$A$2:$A$2000,0))&amp;"","")</f>
        <v/>
      </c>
      <c r="I42" s="7" t="str">
        <f aca="false">IF(H42="","",IF(COUNTIFS(SCORES!$A$2:$A$2000,A42,SCORES!$B$2:$B$2000,B42,SCORES!$C$2:$C$2000,H42,SCORES!$D$2:$D$2000,"&gt;=0")&gt;0,SUMIFS(SCORES!$D$2:$D$2000,SCORES!$A$2:$A$2000,A42,SCORES!$B$2:$B$2000,B42,SCORES!$C$2:$C$2000,H42),""))</f>
        <v/>
      </c>
      <c r="J42" s="7" t="n">
        <f aca="false">IF(AND(ISNUMBER(I42),ISNUMBER(E42)),1,0)</f>
        <v>0</v>
      </c>
    </row>
    <row r="43" customFormat="false" ht="15" hidden="false" customHeight="false" outlineLevel="0" collapsed="false">
      <c r="A43" s="8" t="s">
        <v>88</v>
      </c>
      <c r="B43" s="8" t="s">
        <v>94</v>
      </c>
      <c r="C43" s="8" t="s">
        <v>19</v>
      </c>
      <c r="D43" s="8" t="n">
        <v>3</v>
      </c>
      <c r="E43" s="8"/>
      <c r="F43" s="10" t="n">
        <f aca="false">IF(COUNTIFS(SCORES!$A$2:$A$2000,A43,SCORES!$B$2:$B$2000,B43,SCORES!$C$2:$C$2000,C43,SCORES!$D$2:$D$2000,"&gt;=0")&gt;0,SUMIFS(SCORES!$D$2:$D$2000,SCORES!$A$2:$A$2000,A43,SCORES!$B$2:$B$2000,B43,SCORES!$C$2:$C$2000,C43),"")</f>
        <v>2</v>
      </c>
      <c r="G43" s="10" t="n">
        <f aca="false">IF(AND(ISNUMBER(F43),ISNUMBER(D43)),1,0)</f>
        <v>1</v>
      </c>
      <c r="H43" s="10" t="str">
        <f aca="false">IFERROR(INDEX(CHECKS!$F$2:$F$2000,MATCH(C43,CHECKS!$A$2:$A$2000,0))&amp;"","")</f>
        <v/>
      </c>
      <c r="I43" s="10" t="str">
        <f aca="false">IF(H43="","",IF(COUNTIFS(SCORES!$A$2:$A$2000,A43,SCORES!$B$2:$B$2000,B43,SCORES!$C$2:$C$2000,H43,SCORES!$D$2:$D$2000,"&gt;=0")&gt;0,SUMIFS(SCORES!$D$2:$D$2000,SCORES!$A$2:$A$2000,A43,SCORES!$B$2:$B$2000,B43,SCORES!$C$2:$C$2000,H43),""))</f>
        <v/>
      </c>
      <c r="J43" s="10" t="n">
        <f aca="false">IF(AND(ISNUMBER(I43),ISNUMBER(E43)),1,0)</f>
        <v>0</v>
      </c>
    </row>
    <row r="44" customFormat="false" ht="15" hidden="false" customHeight="false" outlineLevel="0" collapsed="false">
      <c r="A44" s="5" t="s">
        <v>89</v>
      </c>
      <c r="B44" s="5" t="s">
        <v>94</v>
      </c>
      <c r="C44" s="5" t="s">
        <v>19</v>
      </c>
      <c r="D44" s="5" t="n">
        <v>3</v>
      </c>
      <c r="E44" s="5"/>
      <c r="F44" s="7" t="n">
        <f aca="false">IF(COUNTIFS(SCORES!$A$2:$A$2000,A44,SCORES!$B$2:$B$2000,B44,SCORES!$C$2:$C$2000,C44,SCORES!$D$2:$D$2000,"&gt;=0")&gt;0,SUMIFS(SCORES!$D$2:$D$2000,SCORES!$A$2:$A$2000,A44,SCORES!$B$2:$B$2000,B44,SCORES!$C$2:$C$2000,C44),"")</f>
        <v>5</v>
      </c>
      <c r="G44" s="7" t="n">
        <f aca="false">IF(AND(ISNUMBER(F44),ISNUMBER(D44)),1,0)</f>
        <v>1</v>
      </c>
      <c r="H44" s="7" t="str">
        <f aca="false">IFERROR(INDEX(CHECKS!$F$2:$F$2000,MATCH(C44,CHECKS!$A$2:$A$2000,0))&amp;"","")</f>
        <v/>
      </c>
      <c r="I44" s="7" t="str">
        <f aca="false">IF(H44="","",IF(COUNTIFS(SCORES!$A$2:$A$2000,A44,SCORES!$B$2:$B$2000,B44,SCORES!$C$2:$C$2000,H44,SCORES!$D$2:$D$2000,"&gt;=0")&gt;0,SUMIFS(SCORES!$D$2:$D$2000,SCORES!$A$2:$A$2000,A44,SCORES!$B$2:$B$2000,B44,SCORES!$C$2:$C$2000,H44),""))</f>
        <v/>
      </c>
      <c r="J44" s="7" t="n">
        <f aca="false">IF(AND(ISNUMBER(I44),ISNUMBER(E44)),1,0)</f>
        <v>0</v>
      </c>
    </row>
    <row r="45" customFormat="false" ht="15" hidden="false" customHeight="false" outlineLevel="0" collapsed="false">
      <c r="A45" s="8" t="s">
        <v>90</v>
      </c>
      <c r="B45" s="8" t="s">
        <v>94</v>
      </c>
      <c r="C45" s="8" t="s">
        <v>19</v>
      </c>
      <c r="D45" s="8" t="n">
        <v>2</v>
      </c>
      <c r="E45" s="8"/>
      <c r="F45" s="10" t="n">
        <f aca="false">IF(COUNTIFS(SCORES!$A$2:$A$2000,A45,SCORES!$B$2:$B$2000,B45,SCORES!$C$2:$C$2000,C45,SCORES!$D$2:$D$2000,"&gt;=0")&gt;0,SUMIFS(SCORES!$D$2:$D$2000,SCORES!$A$2:$A$2000,A45,SCORES!$B$2:$B$2000,B45,SCORES!$C$2:$C$2000,C45),"")</f>
        <v>1</v>
      </c>
      <c r="G45" s="10" t="n">
        <f aca="false">IF(AND(ISNUMBER(F45),ISNUMBER(D45)),1,0)</f>
        <v>1</v>
      </c>
      <c r="H45" s="10" t="str">
        <f aca="false">IFERROR(INDEX(CHECKS!$F$2:$F$2000,MATCH(C45,CHECKS!$A$2:$A$2000,0))&amp;"","")</f>
        <v/>
      </c>
      <c r="I45" s="10" t="str">
        <f aca="false">IF(H45="","",IF(COUNTIFS(SCORES!$A$2:$A$2000,A45,SCORES!$B$2:$B$2000,B45,SCORES!$C$2:$C$2000,H45,SCORES!$D$2:$D$2000,"&gt;=0")&gt;0,SUMIFS(SCORES!$D$2:$D$2000,SCORES!$A$2:$A$2000,A45,SCORES!$B$2:$B$2000,B45,SCORES!$C$2:$C$2000,H45),""))</f>
        <v/>
      </c>
      <c r="J45" s="10" t="n">
        <f aca="false">IF(AND(ISNUMBER(I45),ISNUMBER(E45)),1,0)</f>
        <v>0</v>
      </c>
    </row>
    <row r="46" customFormat="false" ht="15" hidden="false" customHeight="false" outlineLevel="0" collapsed="false">
      <c r="A46" s="5" t="s">
        <v>91</v>
      </c>
      <c r="B46" s="5" t="s">
        <v>94</v>
      </c>
      <c r="C46" s="5" t="s">
        <v>19</v>
      </c>
      <c r="D46" s="5" t="n">
        <v>2</v>
      </c>
      <c r="E46" s="5"/>
      <c r="F46" s="7" t="n">
        <f aca="false">IF(COUNTIFS(SCORES!$A$2:$A$2000,A46,SCORES!$B$2:$B$2000,B46,SCORES!$C$2:$C$2000,C46,SCORES!$D$2:$D$2000,"&gt;=0")&gt;0,SUMIFS(SCORES!$D$2:$D$2000,SCORES!$A$2:$A$2000,A46,SCORES!$B$2:$B$2000,B46,SCORES!$C$2:$C$2000,C46),"")</f>
        <v>2</v>
      </c>
      <c r="G46" s="7" t="n">
        <f aca="false">IF(AND(ISNUMBER(F46),ISNUMBER(D46)),1,0)</f>
        <v>1</v>
      </c>
      <c r="H46" s="7" t="str">
        <f aca="false">IFERROR(INDEX(CHECKS!$F$2:$F$2000,MATCH(C46,CHECKS!$A$2:$A$2000,0))&amp;"","")</f>
        <v/>
      </c>
      <c r="I46" s="7" t="str">
        <f aca="false">IF(H46="","",IF(COUNTIFS(SCORES!$A$2:$A$2000,A46,SCORES!$B$2:$B$2000,B46,SCORES!$C$2:$C$2000,H46,SCORES!$D$2:$D$2000,"&gt;=0")&gt;0,SUMIFS(SCORES!$D$2:$D$2000,SCORES!$A$2:$A$2000,A46,SCORES!$B$2:$B$2000,B46,SCORES!$C$2:$C$2000,H46),""))</f>
        <v/>
      </c>
      <c r="J46" s="7" t="n">
        <f aca="false">IF(AND(ISNUMBER(I46),ISNUMBER(E46)),1,0)</f>
        <v>0</v>
      </c>
    </row>
    <row r="47" customFormat="false" ht="15" hidden="false" customHeight="false" outlineLevel="0" collapsed="false">
      <c r="A47" s="8" t="s">
        <v>92</v>
      </c>
      <c r="B47" s="8" t="s">
        <v>94</v>
      </c>
      <c r="C47" s="8" t="s">
        <v>19</v>
      </c>
      <c r="D47" s="8" t="n">
        <v>2</v>
      </c>
      <c r="E47" s="8"/>
      <c r="F47" s="10" t="n">
        <f aca="false">IF(COUNTIFS(SCORES!$A$2:$A$2000,A47,SCORES!$B$2:$B$2000,B47,SCORES!$C$2:$C$2000,C47,SCORES!$D$2:$D$2000,"&gt;=0")&gt;0,SUMIFS(SCORES!$D$2:$D$2000,SCORES!$A$2:$A$2000,A47,SCORES!$B$2:$B$2000,B47,SCORES!$C$2:$C$2000,C47),"")</f>
        <v>3</v>
      </c>
      <c r="G47" s="10" t="n">
        <f aca="false">IF(AND(ISNUMBER(F47),ISNUMBER(D47)),1,0)</f>
        <v>1</v>
      </c>
      <c r="H47" s="10" t="str">
        <f aca="false">IFERROR(INDEX(CHECKS!$F$2:$F$2000,MATCH(C47,CHECKS!$A$2:$A$2000,0))&amp;"","")</f>
        <v/>
      </c>
      <c r="I47" s="10" t="str">
        <f aca="false">IF(H47="","",IF(COUNTIFS(SCORES!$A$2:$A$2000,A47,SCORES!$B$2:$B$2000,B47,SCORES!$C$2:$C$2000,H47,SCORES!$D$2:$D$2000,"&gt;=0")&gt;0,SUMIFS(SCORES!$D$2:$D$2000,SCORES!$A$2:$A$2000,A47,SCORES!$B$2:$B$2000,B47,SCORES!$C$2:$C$2000,H47),""))</f>
        <v/>
      </c>
      <c r="J47" s="10" t="n">
        <f aca="false">IF(AND(ISNUMBER(I47),ISNUMBER(E47)),1,0)</f>
        <v>0</v>
      </c>
    </row>
    <row r="48" customFormat="false" ht="15" hidden="false" customHeight="false" outlineLevel="0" collapsed="false">
      <c r="A48" s="5" t="s">
        <v>93</v>
      </c>
      <c r="B48" s="5" t="s">
        <v>94</v>
      </c>
      <c r="C48" s="5" t="s">
        <v>19</v>
      </c>
      <c r="D48" s="5" t="n">
        <v>3</v>
      </c>
      <c r="E48" s="5"/>
      <c r="F48" s="7" t="n">
        <f aca="false">IF(COUNTIFS(SCORES!$A$2:$A$2000,A48,SCORES!$B$2:$B$2000,B48,SCORES!$C$2:$C$2000,C48,SCORES!$D$2:$D$2000,"&gt;=0")&gt;0,SUMIFS(SCORES!$D$2:$D$2000,SCORES!$A$2:$A$2000,A48,SCORES!$B$2:$B$2000,B48,SCORES!$C$2:$C$2000,C48),"")</f>
        <v>4</v>
      </c>
      <c r="G48" s="7" t="n">
        <f aca="false">IF(AND(ISNUMBER(F48),ISNUMBER(D48)),1,0)</f>
        <v>1</v>
      </c>
      <c r="H48" s="7" t="str">
        <f aca="false">IFERROR(INDEX(CHECKS!$F$2:$F$2000,MATCH(C48,CHECKS!$A$2:$A$2000,0))&amp;"","")</f>
        <v/>
      </c>
      <c r="I48" s="7" t="str">
        <f aca="false">IF(H48="","",IF(COUNTIFS(SCORES!$A$2:$A$2000,A48,SCORES!$B$2:$B$2000,B48,SCORES!$C$2:$C$2000,H48,SCORES!$D$2:$D$2000,"&gt;=0")&gt;0,SUMIFS(SCORES!$D$2:$D$2000,SCORES!$A$2:$A$2000,A48,SCORES!$B$2:$B$2000,B48,SCORES!$C$2:$C$2000,H48),""))</f>
        <v/>
      </c>
      <c r="J48" s="7" t="n">
        <f aca="false">IF(AND(ISNUMBER(I48),ISNUMBER(E48)),1,0)</f>
        <v>0</v>
      </c>
    </row>
    <row r="49" customFormat="false" ht="15" hidden="false" customHeight="false" outlineLevel="0" collapsed="false">
      <c r="A49" s="8" t="s">
        <v>67</v>
      </c>
      <c r="B49" s="8" t="s">
        <v>68</v>
      </c>
      <c r="C49" s="8" t="s">
        <v>23</v>
      </c>
      <c r="D49" s="8" t="n">
        <v>2</v>
      </c>
      <c r="E49" s="8" t="n">
        <v>0</v>
      </c>
      <c r="F49" s="10" t="n">
        <f aca="false">IF(COUNTIFS(SCORES!$A$2:$A$2000,A49,SCORES!$B$2:$B$2000,B49,SCORES!$C$2:$C$2000,C49,SCORES!$D$2:$D$2000,"&gt;=0")&gt;0,SUMIFS(SCORES!$D$2:$D$2000,SCORES!$A$2:$A$2000,A49,SCORES!$B$2:$B$2000,B49,SCORES!$C$2:$C$2000,C49),"")</f>
        <v>3</v>
      </c>
      <c r="G49" s="10" t="n">
        <f aca="false">IF(AND(ISNUMBER(F49),ISNUMBER(D49)),1,0)</f>
        <v>1</v>
      </c>
      <c r="H49" s="10" t="str">
        <f aca="false">IFERROR(INDEX(CHECKS!$F$2:$F$2000,MATCH(C49,CHECKS!$A$2:$A$2000,0))&amp;"","")</f>
        <v>W01</v>
      </c>
      <c r="I49" s="10" t="n">
        <f aca="false">IF(H49="","",IF(COUNTIFS(SCORES!$A$2:$A$2000,A49,SCORES!$B$2:$B$2000,B49,SCORES!$C$2:$C$2000,H49,SCORES!$D$2:$D$2000,"&gt;=0")&gt;0,SUMIFS(SCORES!$D$2:$D$2000,SCORES!$A$2:$A$2000,A49,SCORES!$B$2:$B$2000,B49,SCORES!$C$2:$C$2000,H49),""))</f>
        <v>4</v>
      </c>
      <c r="J49" s="10" t="n">
        <f aca="false">IF(AND(ISNUMBER(I49),ISNUMBER(E49)),1,0)</f>
        <v>1</v>
      </c>
    </row>
    <row r="50" customFormat="false" ht="15" hidden="false" customHeight="false" outlineLevel="0" collapsed="false">
      <c r="A50" s="5" t="s">
        <v>69</v>
      </c>
      <c r="B50" s="5" t="s">
        <v>68</v>
      </c>
      <c r="C50" s="5" t="s">
        <v>23</v>
      </c>
      <c r="D50" s="5" t="n">
        <v>3</v>
      </c>
      <c r="E50" s="5" t="n">
        <v>2</v>
      </c>
      <c r="F50" s="7" t="n">
        <f aca="false">IF(COUNTIFS(SCORES!$A$2:$A$2000,A50,SCORES!$B$2:$B$2000,B50,SCORES!$C$2:$C$2000,C50,SCORES!$D$2:$D$2000,"&gt;=0")&gt;0,SUMIFS(SCORES!$D$2:$D$2000,SCORES!$A$2:$A$2000,A50,SCORES!$B$2:$B$2000,B50,SCORES!$C$2:$C$2000,C50),"")</f>
        <v>2</v>
      </c>
      <c r="G50" s="7" t="n">
        <f aca="false">IF(AND(ISNUMBER(F50),ISNUMBER(D50)),1,0)</f>
        <v>1</v>
      </c>
      <c r="H50" s="7" t="str">
        <f aca="false">IFERROR(INDEX(CHECKS!$F$2:$F$2000,MATCH(C50,CHECKS!$A$2:$A$2000,0))&amp;"","")</f>
        <v>W01</v>
      </c>
      <c r="I50" s="7" t="str">
        <f aca="false">IF(H50="","",IF(COUNTIFS(SCORES!$A$2:$A$2000,A50,SCORES!$B$2:$B$2000,B50,SCORES!$C$2:$C$2000,H50,SCORES!$D$2:$D$2000,"&gt;=0")&gt;0,SUMIFS(SCORES!$D$2:$D$2000,SCORES!$A$2:$A$2000,A50,SCORES!$B$2:$B$2000,B50,SCORES!$C$2:$C$2000,H50),""))</f>
        <v/>
      </c>
      <c r="J50" s="7" t="n">
        <f aca="false">IF(AND(ISNUMBER(I50),ISNUMBER(E50)),1,0)</f>
        <v>0</v>
      </c>
    </row>
    <row r="51" customFormat="false" ht="15" hidden="false" customHeight="false" outlineLevel="0" collapsed="false">
      <c r="A51" s="8" t="s">
        <v>71</v>
      </c>
      <c r="B51" s="8" t="s">
        <v>68</v>
      </c>
      <c r="C51" s="8" t="s">
        <v>23</v>
      </c>
      <c r="D51" s="8" t="n">
        <v>2</v>
      </c>
      <c r="E51" s="8" t="n">
        <v>0</v>
      </c>
      <c r="F51" s="10" t="str">
        <f aca="false">IF(COUNTIFS(SCORES!$A$2:$A$2000,A51,SCORES!$B$2:$B$2000,B51,SCORES!$C$2:$C$2000,C51,SCORES!$D$2:$D$2000,"&gt;=0")&gt;0,SUMIFS(SCORES!$D$2:$D$2000,SCORES!$A$2:$A$2000,A51,SCORES!$B$2:$B$2000,B51,SCORES!$C$2:$C$2000,C51),"")</f>
        <v/>
      </c>
      <c r="G51" s="10" t="n">
        <f aca="false">IF(AND(ISNUMBER(F51),ISNUMBER(D51)),1,0)</f>
        <v>0</v>
      </c>
      <c r="H51" s="10" t="str">
        <f aca="false">IFERROR(INDEX(CHECKS!$F$2:$F$2000,MATCH(C51,CHECKS!$A$2:$A$2000,0))&amp;"","")</f>
        <v>W01</v>
      </c>
      <c r="I51" s="10" t="n">
        <f aca="false">IF(H51="","",IF(COUNTIFS(SCORES!$A$2:$A$2000,A51,SCORES!$B$2:$B$2000,B51,SCORES!$C$2:$C$2000,H51,SCORES!$D$2:$D$2000,"&gt;=0")&gt;0,SUMIFS(SCORES!$D$2:$D$2000,SCORES!$A$2:$A$2000,A51,SCORES!$B$2:$B$2000,B51,SCORES!$C$2:$C$2000,H51),""))</f>
        <v>2</v>
      </c>
      <c r="J51" s="10" t="n">
        <f aca="false">IF(AND(ISNUMBER(I51),ISNUMBER(E51)),1,0)</f>
        <v>1</v>
      </c>
    </row>
    <row r="52" customFormat="false" ht="15" hidden="false" customHeight="false" outlineLevel="0" collapsed="false">
      <c r="A52" s="5" t="s">
        <v>72</v>
      </c>
      <c r="B52" s="5" t="s">
        <v>68</v>
      </c>
      <c r="C52" s="5" t="s">
        <v>23</v>
      </c>
      <c r="D52" s="5" t="n">
        <v>1</v>
      </c>
      <c r="E52" s="5" t="n">
        <v>1</v>
      </c>
      <c r="F52" s="7" t="n">
        <f aca="false">IF(COUNTIFS(SCORES!$A$2:$A$2000,A52,SCORES!$B$2:$B$2000,B52,SCORES!$C$2:$C$2000,C52,SCORES!$D$2:$D$2000,"&gt;=0")&gt;0,SUMIFS(SCORES!$D$2:$D$2000,SCORES!$A$2:$A$2000,A52,SCORES!$B$2:$B$2000,B52,SCORES!$C$2:$C$2000,C52),"")</f>
        <v>3</v>
      </c>
      <c r="G52" s="7" t="n">
        <f aca="false">IF(AND(ISNUMBER(F52),ISNUMBER(D52)),1,0)</f>
        <v>1</v>
      </c>
      <c r="H52" s="7" t="str">
        <f aca="false">IFERROR(INDEX(CHECKS!$F$2:$F$2000,MATCH(C52,CHECKS!$A$2:$A$2000,0))&amp;"","")</f>
        <v>W01</v>
      </c>
      <c r="I52" s="7" t="n">
        <f aca="false">IF(H52="","",IF(COUNTIFS(SCORES!$A$2:$A$2000,A52,SCORES!$B$2:$B$2000,B52,SCORES!$C$2:$C$2000,H52,SCORES!$D$2:$D$2000,"&gt;=0")&gt;0,SUMIFS(SCORES!$D$2:$D$2000,SCORES!$A$2:$A$2000,A52,SCORES!$B$2:$B$2000,B52,SCORES!$C$2:$C$2000,H52),""))</f>
        <v>2</v>
      </c>
      <c r="J52" s="7" t="n">
        <f aca="false">IF(AND(ISNUMBER(I52),ISNUMBER(E52)),1,0)</f>
        <v>1</v>
      </c>
    </row>
    <row r="53" customFormat="false" ht="15" hidden="false" customHeight="false" outlineLevel="0" collapsed="false">
      <c r="A53" s="8" t="s">
        <v>73</v>
      </c>
      <c r="B53" s="8" t="s">
        <v>68</v>
      </c>
      <c r="C53" s="8" t="s">
        <v>23</v>
      </c>
      <c r="D53" s="8" t="n">
        <v>2</v>
      </c>
      <c r="E53" s="8" t="n">
        <v>1</v>
      </c>
      <c r="F53" s="10" t="n">
        <f aca="false">IF(COUNTIFS(SCORES!$A$2:$A$2000,A53,SCORES!$B$2:$B$2000,B53,SCORES!$C$2:$C$2000,C53,SCORES!$D$2:$D$2000,"&gt;=0")&gt;0,SUMIFS(SCORES!$D$2:$D$2000,SCORES!$A$2:$A$2000,A53,SCORES!$B$2:$B$2000,B53,SCORES!$C$2:$C$2000,C53),"")</f>
        <v>2</v>
      </c>
      <c r="G53" s="10" t="n">
        <f aca="false">IF(AND(ISNUMBER(F53),ISNUMBER(D53)),1,0)</f>
        <v>1</v>
      </c>
      <c r="H53" s="10" t="str">
        <f aca="false">IFERROR(INDEX(CHECKS!$F$2:$F$2000,MATCH(C53,CHECKS!$A$2:$A$2000,0))&amp;"","")</f>
        <v>W01</v>
      </c>
      <c r="I53" s="10" t="n">
        <f aca="false">IF(H53="","",IF(COUNTIFS(SCORES!$A$2:$A$2000,A53,SCORES!$B$2:$B$2000,B53,SCORES!$C$2:$C$2000,H53,SCORES!$D$2:$D$2000,"&gt;=0")&gt;0,SUMIFS(SCORES!$D$2:$D$2000,SCORES!$A$2:$A$2000,A53,SCORES!$B$2:$B$2000,B53,SCORES!$C$2:$C$2000,H53),""))</f>
        <v>1</v>
      </c>
      <c r="J53" s="10" t="n">
        <f aca="false">IF(AND(ISNUMBER(I53),ISNUMBER(E53)),1,0)</f>
        <v>1</v>
      </c>
    </row>
    <row r="54" customFormat="false" ht="15" hidden="false" customHeight="false" outlineLevel="0" collapsed="false">
      <c r="A54" s="5" t="s">
        <v>74</v>
      </c>
      <c r="B54" s="5" t="s">
        <v>68</v>
      </c>
      <c r="C54" s="5" t="s">
        <v>23</v>
      </c>
      <c r="D54" s="5" t="n">
        <v>3</v>
      </c>
      <c r="E54" s="5" t="n">
        <v>0</v>
      </c>
      <c r="F54" s="7" t="str">
        <f aca="false">IF(COUNTIFS(SCORES!$A$2:$A$2000,A54,SCORES!$B$2:$B$2000,B54,SCORES!$C$2:$C$2000,C54,SCORES!$D$2:$D$2000,"&gt;=0")&gt;0,SUMIFS(SCORES!$D$2:$D$2000,SCORES!$A$2:$A$2000,A54,SCORES!$B$2:$B$2000,B54,SCORES!$C$2:$C$2000,C54),"")</f>
        <v/>
      </c>
      <c r="G54" s="7" t="n">
        <f aca="false">IF(AND(ISNUMBER(F54),ISNUMBER(D54)),1,0)</f>
        <v>0</v>
      </c>
      <c r="H54" s="7" t="str">
        <f aca="false">IFERROR(INDEX(CHECKS!$F$2:$F$2000,MATCH(C54,CHECKS!$A$2:$A$2000,0))&amp;"","")</f>
        <v>W01</v>
      </c>
      <c r="I54" s="7" t="n">
        <f aca="false">IF(H54="","",IF(COUNTIFS(SCORES!$A$2:$A$2000,A54,SCORES!$B$2:$B$2000,B54,SCORES!$C$2:$C$2000,H54,SCORES!$D$2:$D$2000,"&gt;=0")&gt;0,SUMIFS(SCORES!$D$2:$D$2000,SCORES!$A$2:$A$2000,A54,SCORES!$B$2:$B$2000,B54,SCORES!$C$2:$C$2000,H54),""))</f>
        <v>4</v>
      </c>
      <c r="J54" s="7" t="n">
        <f aca="false">IF(AND(ISNUMBER(I54),ISNUMBER(E54)),1,0)</f>
        <v>1</v>
      </c>
    </row>
    <row r="55" customFormat="false" ht="15" hidden="false" customHeight="false" outlineLevel="0" collapsed="false">
      <c r="A55" s="8" t="s">
        <v>75</v>
      </c>
      <c r="B55" s="8" t="s">
        <v>68</v>
      </c>
      <c r="C55" s="8" t="s">
        <v>23</v>
      </c>
      <c r="D55" s="8" t="n">
        <v>2</v>
      </c>
      <c r="E55" s="8" t="n">
        <v>2</v>
      </c>
      <c r="F55" s="10" t="n">
        <f aca="false">IF(COUNTIFS(SCORES!$A$2:$A$2000,A55,SCORES!$B$2:$B$2000,B55,SCORES!$C$2:$C$2000,C55,SCORES!$D$2:$D$2000,"&gt;=0")&gt;0,SUMIFS(SCORES!$D$2:$D$2000,SCORES!$A$2:$A$2000,A55,SCORES!$B$2:$B$2000,B55,SCORES!$C$2:$C$2000,C55),"")</f>
        <v>3</v>
      </c>
      <c r="G55" s="10" t="n">
        <f aca="false">IF(AND(ISNUMBER(F55),ISNUMBER(D55)),1,0)</f>
        <v>1</v>
      </c>
      <c r="H55" s="10" t="str">
        <f aca="false">IFERROR(INDEX(CHECKS!$F$2:$F$2000,MATCH(C55,CHECKS!$A$2:$A$2000,0))&amp;"","")</f>
        <v>W01</v>
      </c>
      <c r="I55" s="10" t="n">
        <f aca="false">IF(H55="","",IF(COUNTIFS(SCORES!$A$2:$A$2000,A55,SCORES!$B$2:$B$2000,B55,SCORES!$C$2:$C$2000,H55,SCORES!$D$2:$D$2000,"&gt;=0")&gt;0,SUMIFS(SCORES!$D$2:$D$2000,SCORES!$A$2:$A$2000,A55,SCORES!$B$2:$B$2000,B55,SCORES!$C$2:$C$2000,H55),""))</f>
        <v>5</v>
      </c>
      <c r="J55" s="10" t="n">
        <f aca="false">IF(AND(ISNUMBER(I55),ISNUMBER(E55)),1,0)</f>
        <v>1</v>
      </c>
    </row>
    <row r="56" customFormat="false" ht="15" hidden="false" customHeight="false" outlineLevel="0" collapsed="false">
      <c r="A56" s="5" t="s">
        <v>76</v>
      </c>
      <c r="B56" s="5" t="s">
        <v>68</v>
      </c>
      <c r="C56" s="5" t="s">
        <v>23</v>
      </c>
      <c r="D56" s="5" t="n">
        <v>3</v>
      </c>
      <c r="E56" s="5" t="n">
        <v>2</v>
      </c>
      <c r="F56" s="7" t="n">
        <f aca="false">IF(COUNTIFS(SCORES!$A$2:$A$2000,A56,SCORES!$B$2:$B$2000,B56,SCORES!$C$2:$C$2000,C56,SCORES!$D$2:$D$2000,"&gt;=0")&gt;0,SUMIFS(SCORES!$D$2:$D$2000,SCORES!$A$2:$A$2000,A56,SCORES!$B$2:$B$2000,B56,SCORES!$C$2:$C$2000,C56),"")</f>
        <v>3</v>
      </c>
      <c r="G56" s="7" t="n">
        <f aca="false">IF(AND(ISNUMBER(F56),ISNUMBER(D56)),1,0)</f>
        <v>1</v>
      </c>
      <c r="H56" s="7" t="str">
        <f aca="false">IFERROR(INDEX(CHECKS!$F$2:$F$2000,MATCH(C56,CHECKS!$A$2:$A$2000,0))&amp;"","")</f>
        <v>W01</v>
      </c>
      <c r="I56" s="7" t="n">
        <f aca="false">IF(H56="","",IF(COUNTIFS(SCORES!$A$2:$A$2000,A56,SCORES!$B$2:$B$2000,B56,SCORES!$C$2:$C$2000,H56,SCORES!$D$2:$D$2000,"&gt;=0")&gt;0,SUMIFS(SCORES!$D$2:$D$2000,SCORES!$A$2:$A$2000,A56,SCORES!$B$2:$B$2000,B56,SCORES!$C$2:$C$2000,H56),""))</f>
        <v>3</v>
      </c>
      <c r="J56" s="7" t="n">
        <f aca="false">IF(AND(ISNUMBER(I56),ISNUMBER(E56)),1,0)</f>
        <v>1</v>
      </c>
    </row>
    <row r="57" customFormat="false" ht="15" hidden="false" customHeight="false" outlineLevel="0" collapsed="false">
      <c r="A57" s="8" t="s">
        <v>77</v>
      </c>
      <c r="B57" s="8" t="s">
        <v>68</v>
      </c>
      <c r="C57" s="8" t="s">
        <v>23</v>
      </c>
      <c r="D57" s="8" t="n">
        <v>3</v>
      </c>
      <c r="E57" s="8" t="n">
        <v>2</v>
      </c>
      <c r="F57" s="10" t="n">
        <f aca="false">IF(COUNTIFS(SCORES!$A$2:$A$2000,A57,SCORES!$B$2:$B$2000,B57,SCORES!$C$2:$C$2000,C57,SCORES!$D$2:$D$2000,"&gt;=0")&gt;0,SUMIFS(SCORES!$D$2:$D$2000,SCORES!$A$2:$A$2000,A57,SCORES!$B$2:$B$2000,B57,SCORES!$C$2:$C$2000,C57),"")</f>
        <v>4</v>
      </c>
      <c r="G57" s="10" t="n">
        <f aca="false">IF(AND(ISNUMBER(F57),ISNUMBER(D57)),1,0)</f>
        <v>1</v>
      </c>
      <c r="H57" s="10" t="str">
        <f aca="false">IFERROR(INDEX(CHECKS!$F$2:$F$2000,MATCH(C57,CHECKS!$A$2:$A$2000,0))&amp;"","")</f>
        <v>W01</v>
      </c>
      <c r="I57" s="10" t="n">
        <f aca="false">IF(H57="","",IF(COUNTIFS(SCORES!$A$2:$A$2000,A57,SCORES!$B$2:$B$2000,B57,SCORES!$C$2:$C$2000,H57,SCORES!$D$2:$D$2000,"&gt;=0")&gt;0,SUMIFS(SCORES!$D$2:$D$2000,SCORES!$A$2:$A$2000,A57,SCORES!$B$2:$B$2000,B57,SCORES!$C$2:$C$2000,H57),""))</f>
        <v>3</v>
      </c>
      <c r="J57" s="10" t="n">
        <f aca="false">IF(AND(ISNUMBER(I57),ISNUMBER(E57)),1,0)</f>
        <v>1</v>
      </c>
    </row>
    <row r="58" customFormat="false" ht="15" hidden="false" customHeight="false" outlineLevel="0" collapsed="false">
      <c r="A58" s="5" t="s">
        <v>79</v>
      </c>
      <c r="B58" s="5" t="s">
        <v>68</v>
      </c>
      <c r="C58" s="5" t="s">
        <v>23</v>
      </c>
      <c r="D58" s="5" t="n">
        <v>2</v>
      </c>
      <c r="E58" s="5" t="n">
        <v>1</v>
      </c>
      <c r="F58" s="7" t="n">
        <f aca="false">IF(COUNTIFS(SCORES!$A$2:$A$2000,A58,SCORES!$B$2:$B$2000,B58,SCORES!$C$2:$C$2000,C58,SCORES!$D$2:$D$2000,"&gt;=0")&gt;0,SUMIFS(SCORES!$D$2:$D$2000,SCORES!$A$2:$A$2000,A58,SCORES!$B$2:$B$2000,B58,SCORES!$C$2:$C$2000,C58),"")</f>
        <v>5</v>
      </c>
      <c r="G58" s="7" t="n">
        <f aca="false">IF(AND(ISNUMBER(F58),ISNUMBER(D58)),1,0)</f>
        <v>1</v>
      </c>
      <c r="H58" s="7" t="str">
        <f aca="false">IFERROR(INDEX(CHECKS!$F$2:$F$2000,MATCH(C58,CHECKS!$A$2:$A$2000,0))&amp;"","")</f>
        <v>W01</v>
      </c>
      <c r="I58" s="7" t="n">
        <f aca="false">IF(H58="","",IF(COUNTIFS(SCORES!$A$2:$A$2000,A58,SCORES!$B$2:$B$2000,B58,SCORES!$C$2:$C$2000,H58,SCORES!$D$2:$D$2000,"&gt;=0")&gt;0,SUMIFS(SCORES!$D$2:$D$2000,SCORES!$A$2:$A$2000,A58,SCORES!$B$2:$B$2000,B58,SCORES!$C$2:$C$2000,H58),""))</f>
        <v>4</v>
      </c>
      <c r="J58" s="7" t="n">
        <f aca="false">IF(AND(ISNUMBER(I58),ISNUMBER(E58)),1,0)</f>
        <v>1</v>
      </c>
    </row>
    <row r="59" customFormat="false" ht="15" hidden="false" customHeight="false" outlineLevel="0" collapsed="false">
      <c r="A59" s="8" t="s">
        <v>80</v>
      </c>
      <c r="B59" s="8" t="s">
        <v>68</v>
      </c>
      <c r="C59" s="8" t="s">
        <v>23</v>
      </c>
      <c r="D59" s="8" t="n">
        <v>3</v>
      </c>
      <c r="E59" s="8" t="n">
        <v>0</v>
      </c>
      <c r="F59" s="10" t="n">
        <f aca="false">IF(COUNTIFS(SCORES!$A$2:$A$2000,A59,SCORES!$B$2:$B$2000,B59,SCORES!$C$2:$C$2000,C59,SCORES!$D$2:$D$2000,"&gt;=0")&gt;0,SUMIFS(SCORES!$D$2:$D$2000,SCORES!$A$2:$A$2000,A59,SCORES!$B$2:$B$2000,B59,SCORES!$C$2:$C$2000,C59),"")</f>
        <v>4</v>
      </c>
      <c r="G59" s="10" t="n">
        <f aca="false">IF(AND(ISNUMBER(F59),ISNUMBER(D59)),1,0)</f>
        <v>1</v>
      </c>
      <c r="H59" s="10" t="str">
        <f aca="false">IFERROR(INDEX(CHECKS!$F$2:$F$2000,MATCH(C59,CHECKS!$A$2:$A$2000,0))&amp;"","")</f>
        <v>W01</v>
      </c>
      <c r="I59" s="10" t="n">
        <f aca="false">IF(H59="","",IF(COUNTIFS(SCORES!$A$2:$A$2000,A59,SCORES!$B$2:$B$2000,B59,SCORES!$C$2:$C$2000,H59,SCORES!$D$2:$D$2000,"&gt;=0")&gt;0,SUMIFS(SCORES!$D$2:$D$2000,SCORES!$A$2:$A$2000,A59,SCORES!$B$2:$B$2000,B59,SCORES!$C$2:$C$2000,H59),""))</f>
        <v>3</v>
      </c>
      <c r="J59" s="10" t="n">
        <f aca="false">IF(AND(ISNUMBER(I59),ISNUMBER(E59)),1,0)</f>
        <v>1</v>
      </c>
    </row>
    <row r="60" customFormat="false" ht="15" hidden="false" customHeight="false" outlineLevel="0" collapsed="false">
      <c r="A60" s="5" t="s">
        <v>81</v>
      </c>
      <c r="B60" s="5" t="s">
        <v>68</v>
      </c>
      <c r="C60" s="5" t="s">
        <v>23</v>
      </c>
      <c r="D60" s="5" t="n">
        <v>2</v>
      </c>
      <c r="E60" s="5" t="n">
        <v>0</v>
      </c>
      <c r="F60" s="7" t="n">
        <f aca="false">IF(COUNTIFS(SCORES!$A$2:$A$2000,A60,SCORES!$B$2:$B$2000,B60,SCORES!$C$2:$C$2000,C60,SCORES!$D$2:$D$2000,"&gt;=0")&gt;0,SUMIFS(SCORES!$D$2:$D$2000,SCORES!$A$2:$A$2000,A60,SCORES!$B$2:$B$2000,B60,SCORES!$C$2:$C$2000,C60),"")</f>
        <v>1</v>
      </c>
      <c r="G60" s="7" t="n">
        <f aca="false">IF(AND(ISNUMBER(F60),ISNUMBER(D60)),1,0)</f>
        <v>1</v>
      </c>
      <c r="H60" s="7" t="str">
        <f aca="false">IFERROR(INDEX(CHECKS!$F$2:$F$2000,MATCH(C60,CHECKS!$A$2:$A$2000,0))&amp;"","")</f>
        <v>W01</v>
      </c>
      <c r="I60" s="7" t="n">
        <f aca="false">IF(H60="","",IF(COUNTIFS(SCORES!$A$2:$A$2000,A60,SCORES!$B$2:$B$2000,B60,SCORES!$C$2:$C$2000,H60,SCORES!$D$2:$D$2000,"&gt;=0")&gt;0,SUMIFS(SCORES!$D$2:$D$2000,SCORES!$A$2:$A$2000,A60,SCORES!$B$2:$B$2000,B60,SCORES!$C$2:$C$2000,H60),""))</f>
        <v>1</v>
      </c>
      <c r="J60" s="7" t="n">
        <f aca="false">IF(AND(ISNUMBER(I60),ISNUMBER(E60)),1,0)</f>
        <v>1</v>
      </c>
    </row>
    <row r="61" customFormat="false" ht="15" hidden="false" customHeight="false" outlineLevel="0" collapsed="false">
      <c r="A61" s="8" t="s">
        <v>82</v>
      </c>
      <c r="B61" s="8" t="s">
        <v>68</v>
      </c>
      <c r="C61" s="8" t="s">
        <v>23</v>
      </c>
      <c r="D61" s="8" t="n">
        <v>3</v>
      </c>
      <c r="E61" s="8" t="n">
        <v>0</v>
      </c>
      <c r="F61" s="10" t="n">
        <f aca="false">IF(COUNTIFS(SCORES!$A$2:$A$2000,A61,SCORES!$B$2:$B$2000,B61,SCORES!$C$2:$C$2000,C61,SCORES!$D$2:$D$2000,"&gt;=0")&gt;0,SUMIFS(SCORES!$D$2:$D$2000,SCORES!$A$2:$A$2000,A61,SCORES!$B$2:$B$2000,B61,SCORES!$C$2:$C$2000,C61),"")</f>
        <v>3</v>
      </c>
      <c r="G61" s="10" t="n">
        <f aca="false">IF(AND(ISNUMBER(F61),ISNUMBER(D61)),1,0)</f>
        <v>1</v>
      </c>
      <c r="H61" s="10" t="str">
        <f aca="false">IFERROR(INDEX(CHECKS!$F$2:$F$2000,MATCH(C61,CHECKS!$A$2:$A$2000,0))&amp;"","")</f>
        <v>W01</v>
      </c>
      <c r="I61" s="10" t="n">
        <f aca="false">IF(H61="","",IF(COUNTIFS(SCORES!$A$2:$A$2000,A61,SCORES!$B$2:$B$2000,B61,SCORES!$C$2:$C$2000,H61,SCORES!$D$2:$D$2000,"&gt;=0")&gt;0,SUMIFS(SCORES!$D$2:$D$2000,SCORES!$A$2:$A$2000,A61,SCORES!$B$2:$B$2000,B61,SCORES!$C$2:$C$2000,H61),""))</f>
        <v>5</v>
      </c>
      <c r="J61" s="10" t="n">
        <f aca="false">IF(AND(ISNUMBER(I61),ISNUMBER(E61)),1,0)</f>
        <v>1</v>
      </c>
    </row>
    <row r="62" customFormat="false" ht="15" hidden="false" customHeight="false" outlineLevel="0" collapsed="false">
      <c r="A62" s="5" t="s">
        <v>83</v>
      </c>
      <c r="B62" s="5" t="s">
        <v>68</v>
      </c>
      <c r="C62" s="5" t="s">
        <v>23</v>
      </c>
      <c r="D62" s="5" t="n">
        <v>1</v>
      </c>
      <c r="E62" s="5" t="n">
        <v>1</v>
      </c>
      <c r="F62" s="7" t="n">
        <f aca="false">IF(COUNTIFS(SCORES!$A$2:$A$2000,A62,SCORES!$B$2:$B$2000,B62,SCORES!$C$2:$C$2000,C62,SCORES!$D$2:$D$2000,"&gt;=0")&gt;0,SUMIFS(SCORES!$D$2:$D$2000,SCORES!$A$2:$A$2000,A62,SCORES!$B$2:$B$2000,B62,SCORES!$C$2:$C$2000,C62),"")</f>
        <v>5</v>
      </c>
      <c r="G62" s="7" t="n">
        <f aca="false">IF(AND(ISNUMBER(F62),ISNUMBER(D62)),1,0)</f>
        <v>1</v>
      </c>
      <c r="H62" s="7" t="str">
        <f aca="false">IFERROR(INDEX(CHECKS!$F$2:$F$2000,MATCH(C62,CHECKS!$A$2:$A$2000,0))&amp;"","")</f>
        <v>W01</v>
      </c>
      <c r="I62" s="7" t="str">
        <f aca="false">IF(H62="","",IF(COUNTIFS(SCORES!$A$2:$A$2000,A62,SCORES!$B$2:$B$2000,B62,SCORES!$C$2:$C$2000,H62,SCORES!$D$2:$D$2000,"&gt;=0")&gt;0,SUMIFS(SCORES!$D$2:$D$2000,SCORES!$A$2:$A$2000,A62,SCORES!$B$2:$B$2000,B62,SCORES!$C$2:$C$2000,H62),""))</f>
        <v/>
      </c>
      <c r="J62" s="7" t="n">
        <f aca="false">IF(AND(ISNUMBER(I62),ISNUMBER(E62)),1,0)</f>
        <v>0</v>
      </c>
    </row>
    <row r="63" customFormat="false" ht="15" hidden="false" customHeight="false" outlineLevel="0" collapsed="false">
      <c r="A63" s="8" t="s">
        <v>84</v>
      </c>
      <c r="B63" s="8" t="s">
        <v>68</v>
      </c>
      <c r="C63" s="8" t="s">
        <v>23</v>
      </c>
      <c r="D63" s="8" t="n">
        <v>3</v>
      </c>
      <c r="E63" s="8" t="n">
        <v>1</v>
      </c>
      <c r="F63" s="10" t="n">
        <f aca="false">IF(COUNTIFS(SCORES!$A$2:$A$2000,A63,SCORES!$B$2:$B$2000,B63,SCORES!$C$2:$C$2000,C63,SCORES!$D$2:$D$2000,"&gt;=0")&gt;0,SUMIFS(SCORES!$D$2:$D$2000,SCORES!$A$2:$A$2000,A63,SCORES!$B$2:$B$2000,B63,SCORES!$C$2:$C$2000,C63),"")</f>
        <v>3</v>
      </c>
      <c r="G63" s="10" t="n">
        <f aca="false">IF(AND(ISNUMBER(F63),ISNUMBER(D63)),1,0)</f>
        <v>1</v>
      </c>
      <c r="H63" s="10" t="str">
        <f aca="false">IFERROR(INDEX(CHECKS!$F$2:$F$2000,MATCH(C63,CHECKS!$A$2:$A$2000,0))&amp;"","")</f>
        <v>W01</v>
      </c>
      <c r="I63" s="10" t="str">
        <f aca="false">IF(H63="","",IF(COUNTIFS(SCORES!$A$2:$A$2000,A63,SCORES!$B$2:$B$2000,B63,SCORES!$C$2:$C$2000,H63,SCORES!$D$2:$D$2000,"&gt;=0")&gt;0,SUMIFS(SCORES!$D$2:$D$2000,SCORES!$A$2:$A$2000,A63,SCORES!$B$2:$B$2000,B63,SCORES!$C$2:$C$2000,H63),""))</f>
        <v/>
      </c>
      <c r="J63" s="10" t="n">
        <f aca="false">IF(AND(ISNUMBER(I63),ISNUMBER(E63)),1,0)</f>
        <v>0</v>
      </c>
    </row>
    <row r="64" customFormat="false" ht="15" hidden="false" customHeight="false" outlineLevel="0" collapsed="false">
      <c r="A64" s="5" t="s">
        <v>85</v>
      </c>
      <c r="B64" s="5" t="s">
        <v>68</v>
      </c>
      <c r="C64" s="5" t="s">
        <v>23</v>
      </c>
      <c r="D64" s="5" t="n">
        <v>2</v>
      </c>
      <c r="E64" s="5" t="n">
        <v>2</v>
      </c>
      <c r="F64" s="7" t="n">
        <f aca="false">IF(COUNTIFS(SCORES!$A$2:$A$2000,A64,SCORES!$B$2:$B$2000,B64,SCORES!$C$2:$C$2000,C64,SCORES!$D$2:$D$2000,"&gt;=0")&gt;0,SUMIFS(SCORES!$D$2:$D$2000,SCORES!$A$2:$A$2000,A64,SCORES!$B$2:$B$2000,B64,SCORES!$C$2:$C$2000,C64),"")</f>
        <v>1</v>
      </c>
      <c r="G64" s="7" t="n">
        <f aca="false">IF(AND(ISNUMBER(F64),ISNUMBER(D64)),1,0)</f>
        <v>1</v>
      </c>
      <c r="H64" s="7" t="str">
        <f aca="false">IFERROR(INDEX(CHECKS!$F$2:$F$2000,MATCH(C64,CHECKS!$A$2:$A$2000,0))&amp;"","")</f>
        <v>W01</v>
      </c>
      <c r="I64" s="7" t="n">
        <f aca="false">IF(H64="","",IF(COUNTIFS(SCORES!$A$2:$A$2000,A64,SCORES!$B$2:$B$2000,B64,SCORES!$C$2:$C$2000,H64,SCORES!$D$2:$D$2000,"&gt;=0")&gt;0,SUMIFS(SCORES!$D$2:$D$2000,SCORES!$A$2:$A$2000,A64,SCORES!$B$2:$B$2000,B64,SCORES!$C$2:$C$2000,H64),""))</f>
        <v>2</v>
      </c>
      <c r="J64" s="7" t="n">
        <f aca="false">IF(AND(ISNUMBER(I64),ISNUMBER(E64)),1,0)</f>
        <v>1</v>
      </c>
    </row>
    <row r="65" customFormat="false" ht="15" hidden="false" customHeight="false" outlineLevel="0" collapsed="false">
      <c r="A65" s="8" t="s">
        <v>86</v>
      </c>
      <c r="B65" s="8" t="s">
        <v>68</v>
      </c>
      <c r="C65" s="8" t="s">
        <v>23</v>
      </c>
      <c r="D65" s="8" t="n">
        <v>1</v>
      </c>
      <c r="E65" s="8" t="n">
        <v>0</v>
      </c>
      <c r="F65" s="10" t="n">
        <f aca="false">IF(COUNTIFS(SCORES!$A$2:$A$2000,A65,SCORES!$B$2:$B$2000,B65,SCORES!$C$2:$C$2000,C65,SCORES!$D$2:$D$2000,"&gt;=0")&gt;0,SUMIFS(SCORES!$D$2:$D$2000,SCORES!$A$2:$A$2000,A65,SCORES!$B$2:$B$2000,B65,SCORES!$C$2:$C$2000,C65),"")</f>
        <v>0</v>
      </c>
      <c r="G65" s="10" t="n">
        <f aca="false">IF(AND(ISNUMBER(F65),ISNUMBER(D65)),1,0)</f>
        <v>1</v>
      </c>
      <c r="H65" s="10" t="str">
        <f aca="false">IFERROR(INDEX(CHECKS!$F$2:$F$2000,MATCH(C65,CHECKS!$A$2:$A$2000,0))&amp;"","")</f>
        <v>W01</v>
      </c>
      <c r="I65" s="10" t="n">
        <f aca="false">IF(H65="","",IF(COUNTIFS(SCORES!$A$2:$A$2000,A65,SCORES!$B$2:$B$2000,B65,SCORES!$C$2:$C$2000,H65,SCORES!$D$2:$D$2000,"&gt;=0")&gt;0,SUMIFS(SCORES!$D$2:$D$2000,SCORES!$A$2:$A$2000,A65,SCORES!$B$2:$B$2000,B65,SCORES!$C$2:$C$2000,H65),""))</f>
        <v>2</v>
      </c>
      <c r="J65" s="10" t="n">
        <f aca="false">IF(AND(ISNUMBER(I65),ISNUMBER(E65)),1,0)</f>
        <v>1</v>
      </c>
    </row>
    <row r="66" customFormat="false" ht="15" hidden="false" customHeight="false" outlineLevel="0" collapsed="false">
      <c r="A66" s="5" t="s">
        <v>87</v>
      </c>
      <c r="B66" s="5" t="s">
        <v>68</v>
      </c>
      <c r="C66" s="5" t="s">
        <v>23</v>
      </c>
      <c r="D66" s="5" t="n">
        <v>3</v>
      </c>
      <c r="E66" s="5" t="n">
        <v>2</v>
      </c>
      <c r="F66" s="7" t="n">
        <f aca="false">IF(COUNTIFS(SCORES!$A$2:$A$2000,A66,SCORES!$B$2:$B$2000,B66,SCORES!$C$2:$C$2000,C66,SCORES!$D$2:$D$2000,"&gt;=0")&gt;0,SUMIFS(SCORES!$D$2:$D$2000,SCORES!$A$2:$A$2000,A66,SCORES!$B$2:$B$2000,B66,SCORES!$C$2:$C$2000,C66),"")</f>
        <v>4</v>
      </c>
      <c r="G66" s="7" t="n">
        <f aca="false">IF(AND(ISNUMBER(F66),ISNUMBER(D66)),1,0)</f>
        <v>1</v>
      </c>
      <c r="H66" s="7" t="str">
        <f aca="false">IFERROR(INDEX(CHECKS!$F$2:$F$2000,MATCH(C66,CHECKS!$A$2:$A$2000,0))&amp;"","")</f>
        <v>W01</v>
      </c>
      <c r="I66" s="7" t="n">
        <f aca="false">IF(H66="","",IF(COUNTIFS(SCORES!$A$2:$A$2000,A66,SCORES!$B$2:$B$2000,B66,SCORES!$C$2:$C$2000,H66,SCORES!$D$2:$D$2000,"&gt;=0")&gt;0,SUMIFS(SCORES!$D$2:$D$2000,SCORES!$A$2:$A$2000,A66,SCORES!$B$2:$B$2000,B66,SCORES!$C$2:$C$2000,H66),""))</f>
        <v>4</v>
      </c>
      <c r="J66" s="7" t="n">
        <f aca="false">IF(AND(ISNUMBER(I66),ISNUMBER(E66)),1,0)</f>
        <v>1</v>
      </c>
    </row>
    <row r="67" customFormat="false" ht="15" hidden="false" customHeight="false" outlineLevel="0" collapsed="false">
      <c r="A67" s="8" t="s">
        <v>88</v>
      </c>
      <c r="B67" s="8" t="s">
        <v>68</v>
      </c>
      <c r="C67" s="8" t="s">
        <v>23</v>
      </c>
      <c r="D67" s="8" t="n">
        <v>2</v>
      </c>
      <c r="E67" s="8" t="n">
        <v>2</v>
      </c>
      <c r="F67" s="10" t="n">
        <f aca="false">IF(COUNTIFS(SCORES!$A$2:$A$2000,A67,SCORES!$B$2:$B$2000,B67,SCORES!$C$2:$C$2000,C67,SCORES!$D$2:$D$2000,"&gt;=0")&gt;0,SUMIFS(SCORES!$D$2:$D$2000,SCORES!$A$2:$A$2000,A67,SCORES!$B$2:$B$2000,B67,SCORES!$C$2:$C$2000,C67),"")</f>
        <v>3</v>
      </c>
      <c r="G67" s="10" t="n">
        <f aca="false">IF(AND(ISNUMBER(F67),ISNUMBER(D67)),1,0)</f>
        <v>1</v>
      </c>
      <c r="H67" s="10" t="str">
        <f aca="false">IFERROR(INDEX(CHECKS!$F$2:$F$2000,MATCH(C67,CHECKS!$A$2:$A$2000,0))&amp;"","")</f>
        <v>W01</v>
      </c>
      <c r="I67" s="10" t="n">
        <f aca="false">IF(H67="","",IF(COUNTIFS(SCORES!$A$2:$A$2000,A67,SCORES!$B$2:$B$2000,B67,SCORES!$C$2:$C$2000,H67,SCORES!$D$2:$D$2000,"&gt;=0")&gt;0,SUMIFS(SCORES!$D$2:$D$2000,SCORES!$A$2:$A$2000,A67,SCORES!$B$2:$B$2000,B67,SCORES!$C$2:$C$2000,H67),""))</f>
        <v>3</v>
      </c>
      <c r="J67" s="10" t="n">
        <f aca="false">IF(AND(ISNUMBER(I67),ISNUMBER(E67)),1,0)</f>
        <v>1</v>
      </c>
    </row>
    <row r="68" customFormat="false" ht="15" hidden="false" customHeight="false" outlineLevel="0" collapsed="false">
      <c r="A68" s="5" t="s">
        <v>89</v>
      </c>
      <c r="B68" s="5" t="s">
        <v>68</v>
      </c>
      <c r="C68" s="5" t="s">
        <v>23</v>
      </c>
      <c r="D68" s="5" t="n">
        <v>3</v>
      </c>
      <c r="E68" s="5" t="n">
        <v>2</v>
      </c>
      <c r="F68" s="7" t="n">
        <f aca="false">IF(COUNTIFS(SCORES!$A$2:$A$2000,A68,SCORES!$B$2:$B$2000,B68,SCORES!$C$2:$C$2000,C68,SCORES!$D$2:$D$2000,"&gt;=0")&gt;0,SUMIFS(SCORES!$D$2:$D$2000,SCORES!$A$2:$A$2000,A68,SCORES!$B$2:$B$2000,B68,SCORES!$C$2:$C$2000,C68),"")</f>
        <v>5</v>
      </c>
      <c r="G68" s="7" t="n">
        <f aca="false">IF(AND(ISNUMBER(F68),ISNUMBER(D68)),1,0)</f>
        <v>1</v>
      </c>
      <c r="H68" s="7" t="str">
        <f aca="false">IFERROR(INDEX(CHECKS!$F$2:$F$2000,MATCH(C68,CHECKS!$A$2:$A$2000,0))&amp;"","")</f>
        <v>W01</v>
      </c>
      <c r="I68" s="7" t="n">
        <f aca="false">IF(H68="","",IF(COUNTIFS(SCORES!$A$2:$A$2000,A68,SCORES!$B$2:$B$2000,B68,SCORES!$C$2:$C$2000,H68,SCORES!$D$2:$D$2000,"&gt;=0")&gt;0,SUMIFS(SCORES!$D$2:$D$2000,SCORES!$A$2:$A$2000,A68,SCORES!$B$2:$B$2000,B68,SCORES!$C$2:$C$2000,H68),""))</f>
        <v>3</v>
      </c>
      <c r="J68" s="7" t="n">
        <f aca="false">IF(AND(ISNUMBER(I68),ISNUMBER(E68)),1,0)</f>
        <v>1</v>
      </c>
    </row>
    <row r="69" customFormat="false" ht="15" hidden="false" customHeight="false" outlineLevel="0" collapsed="false">
      <c r="A69" s="8" t="s">
        <v>90</v>
      </c>
      <c r="B69" s="8" t="s">
        <v>68</v>
      </c>
      <c r="C69" s="8" t="s">
        <v>23</v>
      </c>
      <c r="D69" s="8" t="n">
        <v>3</v>
      </c>
      <c r="E69" s="8" t="n">
        <v>2</v>
      </c>
      <c r="F69" s="10" t="n">
        <f aca="false">IF(COUNTIFS(SCORES!$A$2:$A$2000,A69,SCORES!$B$2:$B$2000,B69,SCORES!$C$2:$C$2000,C69,SCORES!$D$2:$D$2000,"&gt;=0")&gt;0,SUMIFS(SCORES!$D$2:$D$2000,SCORES!$A$2:$A$2000,A69,SCORES!$B$2:$B$2000,B69,SCORES!$C$2:$C$2000,C69),"")</f>
        <v>1</v>
      </c>
      <c r="G69" s="10" t="n">
        <f aca="false">IF(AND(ISNUMBER(F69),ISNUMBER(D69)),1,0)</f>
        <v>1</v>
      </c>
      <c r="H69" s="10" t="str">
        <f aca="false">IFERROR(INDEX(CHECKS!$F$2:$F$2000,MATCH(C69,CHECKS!$A$2:$A$2000,0))&amp;"","")</f>
        <v>W01</v>
      </c>
      <c r="I69" s="10" t="n">
        <f aca="false">IF(H69="","",IF(COUNTIFS(SCORES!$A$2:$A$2000,A69,SCORES!$B$2:$B$2000,B69,SCORES!$C$2:$C$2000,H69,SCORES!$D$2:$D$2000,"&gt;=0")&gt;0,SUMIFS(SCORES!$D$2:$D$2000,SCORES!$A$2:$A$2000,A69,SCORES!$B$2:$B$2000,B69,SCORES!$C$2:$C$2000,H69),""))</f>
        <v>4</v>
      </c>
      <c r="J69" s="10" t="n">
        <f aca="false">IF(AND(ISNUMBER(I69),ISNUMBER(E69)),1,0)</f>
        <v>1</v>
      </c>
    </row>
    <row r="70" customFormat="false" ht="15" hidden="false" customHeight="false" outlineLevel="0" collapsed="false">
      <c r="A70" s="5" t="s">
        <v>91</v>
      </c>
      <c r="B70" s="5" t="s">
        <v>68</v>
      </c>
      <c r="C70" s="5" t="s">
        <v>23</v>
      </c>
      <c r="D70" s="5" t="n">
        <v>2</v>
      </c>
      <c r="E70" s="5" t="n">
        <v>1</v>
      </c>
      <c r="F70" s="7" t="n">
        <f aca="false">IF(COUNTIFS(SCORES!$A$2:$A$2000,A70,SCORES!$B$2:$B$2000,B70,SCORES!$C$2:$C$2000,C70,SCORES!$D$2:$D$2000,"&gt;=0")&gt;0,SUMIFS(SCORES!$D$2:$D$2000,SCORES!$A$2:$A$2000,A70,SCORES!$B$2:$B$2000,B70,SCORES!$C$2:$C$2000,C70),"")</f>
        <v>3</v>
      </c>
      <c r="G70" s="7" t="n">
        <f aca="false">IF(AND(ISNUMBER(F70),ISNUMBER(D70)),1,0)</f>
        <v>1</v>
      </c>
      <c r="H70" s="7" t="str">
        <f aca="false">IFERROR(INDEX(CHECKS!$F$2:$F$2000,MATCH(C70,CHECKS!$A$2:$A$2000,0))&amp;"","")</f>
        <v>W01</v>
      </c>
      <c r="I70" s="7" t="n">
        <f aca="false">IF(H70="","",IF(COUNTIFS(SCORES!$A$2:$A$2000,A70,SCORES!$B$2:$B$2000,B70,SCORES!$C$2:$C$2000,H70,SCORES!$D$2:$D$2000,"&gt;=0")&gt;0,SUMIFS(SCORES!$D$2:$D$2000,SCORES!$A$2:$A$2000,A70,SCORES!$B$2:$B$2000,B70,SCORES!$C$2:$C$2000,H70),""))</f>
        <v>2</v>
      </c>
      <c r="J70" s="7" t="n">
        <f aca="false">IF(AND(ISNUMBER(I70),ISNUMBER(E70)),1,0)</f>
        <v>1</v>
      </c>
    </row>
    <row r="71" customFormat="false" ht="15" hidden="false" customHeight="false" outlineLevel="0" collapsed="false">
      <c r="A71" s="8" t="s">
        <v>92</v>
      </c>
      <c r="B71" s="8" t="s">
        <v>68</v>
      </c>
      <c r="C71" s="8" t="s">
        <v>23</v>
      </c>
      <c r="D71" s="8" t="n">
        <v>1</v>
      </c>
      <c r="E71" s="8" t="n">
        <v>2</v>
      </c>
      <c r="F71" s="10" t="str">
        <f aca="false">IF(COUNTIFS(SCORES!$A$2:$A$2000,A71,SCORES!$B$2:$B$2000,B71,SCORES!$C$2:$C$2000,C71,SCORES!$D$2:$D$2000,"&gt;=0")&gt;0,SUMIFS(SCORES!$D$2:$D$2000,SCORES!$A$2:$A$2000,A71,SCORES!$B$2:$B$2000,B71,SCORES!$C$2:$C$2000,C71),"")</f>
        <v/>
      </c>
      <c r="G71" s="10" t="n">
        <f aca="false">IF(AND(ISNUMBER(F71),ISNUMBER(D71)),1,0)</f>
        <v>0</v>
      </c>
      <c r="H71" s="10" t="str">
        <f aca="false">IFERROR(INDEX(CHECKS!$F$2:$F$2000,MATCH(C71,CHECKS!$A$2:$A$2000,0))&amp;"","")</f>
        <v>W01</v>
      </c>
      <c r="I71" s="10" t="n">
        <f aca="false">IF(H71="","",IF(COUNTIFS(SCORES!$A$2:$A$2000,A71,SCORES!$B$2:$B$2000,B71,SCORES!$C$2:$C$2000,H71,SCORES!$D$2:$D$2000,"&gt;=0")&gt;0,SUMIFS(SCORES!$D$2:$D$2000,SCORES!$A$2:$A$2000,A71,SCORES!$B$2:$B$2000,B71,SCORES!$C$2:$C$2000,H71),""))</f>
        <v>2</v>
      </c>
      <c r="J71" s="10" t="n">
        <f aca="false">IF(AND(ISNUMBER(I71),ISNUMBER(E71)),1,0)</f>
        <v>1</v>
      </c>
    </row>
    <row r="72" customFormat="false" ht="15" hidden="false" customHeight="false" outlineLevel="0" collapsed="false">
      <c r="A72" s="5" t="s">
        <v>93</v>
      </c>
      <c r="B72" s="5" t="s">
        <v>68</v>
      </c>
      <c r="C72" s="5" t="s">
        <v>23</v>
      </c>
      <c r="D72" s="5" t="n">
        <v>3</v>
      </c>
      <c r="E72" s="5" t="n">
        <v>1</v>
      </c>
      <c r="F72" s="7" t="n">
        <f aca="false">IF(COUNTIFS(SCORES!$A$2:$A$2000,A72,SCORES!$B$2:$B$2000,B72,SCORES!$C$2:$C$2000,C72,SCORES!$D$2:$D$2000,"&gt;=0")&gt;0,SUMIFS(SCORES!$D$2:$D$2000,SCORES!$A$2:$A$2000,A72,SCORES!$B$2:$B$2000,B72,SCORES!$C$2:$C$2000,C72),"")</f>
        <v>1</v>
      </c>
      <c r="G72" s="7" t="n">
        <f aca="false">IF(AND(ISNUMBER(F72),ISNUMBER(D72)),1,0)</f>
        <v>1</v>
      </c>
      <c r="H72" s="7" t="str">
        <f aca="false">IFERROR(INDEX(CHECKS!$F$2:$F$2000,MATCH(C72,CHECKS!$A$2:$A$2000,0))&amp;"","")</f>
        <v>W01</v>
      </c>
      <c r="I72" s="7" t="str">
        <f aca="false">IF(H72="","",IF(COUNTIFS(SCORES!$A$2:$A$2000,A72,SCORES!$B$2:$B$2000,B72,SCORES!$C$2:$C$2000,H72,SCORES!$D$2:$D$2000,"&gt;=0")&gt;0,SUMIFS(SCORES!$D$2:$D$2000,SCORES!$A$2:$A$2000,A72,SCORES!$B$2:$B$2000,B72,SCORES!$C$2:$C$2000,H72),""))</f>
        <v/>
      </c>
      <c r="J72" s="7" t="n">
        <f aca="false">IF(AND(ISNUMBER(I72),ISNUMBER(E72)),1,0)</f>
        <v>0</v>
      </c>
    </row>
    <row r="73" customFormat="false" ht="15" hidden="false" customHeight="false" outlineLevel="0" collapsed="false">
      <c r="A73" s="8" t="s">
        <v>67</v>
      </c>
      <c r="B73" s="8" t="s">
        <v>94</v>
      </c>
      <c r="C73" s="8" t="s">
        <v>23</v>
      </c>
      <c r="D73" s="8" t="n">
        <v>3</v>
      </c>
      <c r="E73" s="8" t="n">
        <v>2</v>
      </c>
      <c r="F73" s="10" t="n">
        <f aca="false">IF(COUNTIFS(SCORES!$A$2:$A$2000,A73,SCORES!$B$2:$B$2000,B73,SCORES!$C$2:$C$2000,C73,SCORES!$D$2:$D$2000,"&gt;=0")&gt;0,SUMIFS(SCORES!$D$2:$D$2000,SCORES!$A$2:$A$2000,A73,SCORES!$B$2:$B$2000,B73,SCORES!$C$2:$C$2000,C73),"")</f>
        <v>1</v>
      </c>
      <c r="G73" s="10" t="n">
        <f aca="false">IF(AND(ISNUMBER(F73),ISNUMBER(D73)),1,0)</f>
        <v>1</v>
      </c>
      <c r="H73" s="10" t="str">
        <f aca="false">IFERROR(INDEX(CHECKS!$F$2:$F$2000,MATCH(C73,CHECKS!$A$2:$A$2000,0))&amp;"","")</f>
        <v>W01</v>
      </c>
      <c r="I73" s="10" t="str">
        <f aca="false">IF(H73="","",IF(COUNTIFS(SCORES!$A$2:$A$2000,A73,SCORES!$B$2:$B$2000,B73,SCORES!$C$2:$C$2000,H73,SCORES!$D$2:$D$2000,"&gt;=0")&gt;0,SUMIFS(SCORES!$D$2:$D$2000,SCORES!$A$2:$A$2000,A73,SCORES!$B$2:$B$2000,B73,SCORES!$C$2:$C$2000,H73),""))</f>
        <v/>
      </c>
      <c r="J73" s="10" t="n">
        <f aca="false">IF(AND(ISNUMBER(I73),ISNUMBER(E73)),1,0)</f>
        <v>0</v>
      </c>
    </row>
    <row r="74" customFormat="false" ht="15" hidden="false" customHeight="false" outlineLevel="0" collapsed="false">
      <c r="A74" s="5" t="s">
        <v>69</v>
      </c>
      <c r="B74" s="5" t="s">
        <v>94</v>
      </c>
      <c r="C74" s="5" t="s">
        <v>23</v>
      </c>
      <c r="D74" s="5" t="n">
        <v>1</v>
      </c>
      <c r="E74" s="5" t="n">
        <v>0</v>
      </c>
      <c r="F74" s="7" t="n">
        <f aca="false">IF(COUNTIFS(SCORES!$A$2:$A$2000,A74,SCORES!$B$2:$B$2000,B74,SCORES!$C$2:$C$2000,C74,SCORES!$D$2:$D$2000,"&gt;=0")&gt;0,SUMIFS(SCORES!$D$2:$D$2000,SCORES!$A$2:$A$2000,A74,SCORES!$B$2:$B$2000,B74,SCORES!$C$2:$C$2000,C74),"")</f>
        <v>3</v>
      </c>
      <c r="G74" s="7" t="n">
        <f aca="false">IF(AND(ISNUMBER(F74),ISNUMBER(D74)),1,0)</f>
        <v>1</v>
      </c>
      <c r="H74" s="7" t="str">
        <f aca="false">IFERROR(INDEX(CHECKS!$F$2:$F$2000,MATCH(C74,CHECKS!$A$2:$A$2000,0))&amp;"","")</f>
        <v>W01</v>
      </c>
      <c r="I74" s="7" t="n">
        <f aca="false">IF(H74="","",IF(COUNTIFS(SCORES!$A$2:$A$2000,A74,SCORES!$B$2:$B$2000,B74,SCORES!$C$2:$C$2000,H74,SCORES!$D$2:$D$2000,"&gt;=0")&gt;0,SUMIFS(SCORES!$D$2:$D$2000,SCORES!$A$2:$A$2000,A74,SCORES!$B$2:$B$2000,B74,SCORES!$C$2:$C$2000,H74),""))</f>
        <v>2</v>
      </c>
      <c r="J74" s="7" t="n">
        <f aca="false">IF(AND(ISNUMBER(I74),ISNUMBER(E74)),1,0)</f>
        <v>1</v>
      </c>
    </row>
    <row r="75" customFormat="false" ht="15" hidden="false" customHeight="false" outlineLevel="0" collapsed="false">
      <c r="A75" s="8" t="s">
        <v>71</v>
      </c>
      <c r="B75" s="8" t="s">
        <v>94</v>
      </c>
      <c r="C75" s="8" t="s">
        <v>23</v>
      </c>
      <c r="D75" s="8" t="n">
        <v>3</v>
      </c>
      <c r="E75" s="8" t="n">
        <v>2</v>
      </c>
      <c r="F75" s="10" t="n">
        <f aca="false">IF(COUNTIFS(SCORES!$A$2:$A$2000,A75,SCORES!$B$2:$B$2000,B75,SCORES!$C$2:$C$2000,C75,SCORES!$D$2:$D$2000,"&gt;=0")&gt;0,SUMIFS(SCORES!$D$2:$D$2000,SCORES!$A$2:$A$2000,A75,SCORES!$B$2:$B$2000,B75,SCORES!$C$2:$C$2000,C75),"")</f>
        <v>4</v>
      </c>
      <c r="G75" s="10" t="n">
        <f aca="false">IF(AND(ISNUMBER(F75),ISNUMBER(D75)),1,0)</f>
        <v>1</v>
      </c>
      <c r="H75" s="10" t="str">
        <f aca="false">IFERROR(INDEX(CHECKS!$F$2:$F$2000,MATCH(C75,CHECKS!$A$2:$A$2000,0))&amp;"","")</f>
        <v>W01</v>
      </c>
      <c r="I75" s="10" t="n">
        <f aca="false">IF(H75="","",IF(COUNTIFS(SCORES!$A$2:$A$2000,A75,SCORES!$B$2:$B$2000,B75,SCORES!$C$2:$C$2000,H75,SCORES!$D$2:$D$2000,"&gt;=0")&gt;0,SUMIFS(SCORES!$D$2:$D$2000,SCORES!$A$2:$A$2000,A75,SCORES!$B$2:$B$2000,B75,SCORES!$C$2:$C$2000,H75),""))</f>
        <v>4</v>
      </c>
      <c r="J75" s="10" t="n">
        <f aca="false">IF(AND(ISNUMBER(I75),ISNUMBER(E75)),1,0)</f>
        <v>1</v>
      </c>
    </row>
    <row r="76" customFormat="false" ht="15" hidden="false" customHeight="false" outlineLevel="0" collapsed="false">
      <c r="A76" s="5" t="s">
        <v>72</v>
      </c>
      <c r="B76" s="5" t="s">
        <v>94</v>
      </c>
      <c r="C76" s="5" t="s">
        <v>23</v>
      </c>
      <c r="D76" s="5" t="n">
        <v>3</v>
      </c>
      <c r="E76" s="5" t="n">
        <v>0</v>
      </c>
      <c r="F76" s="7" t="n">
        <f aca="false">IF(COUNTIFS(SCORES!$A$2:$A$2000,A76,SCORES!$B$2:$B$2000,B76,SCORES!$C$2:$C$2000,C76,SCORES!$D$2:$D$2000,"&gt;=0")&gt;0,SUMIFS(SCORES!$D$2:$D$2000,SCORES!$A$2:$A$2000,A76,SCORES!$B$2:$B$2000,B76,SCORES!$C$2:$C$2000,C76),"")</f>
        <v>3</v>
      </c>
      <c r="G76" s="7" t="n">
        <f aca="false">IF(AND(ISNUMBER(F76),ISNUMBER(D76)),1,0)</f>
        <v>1</v>
      </c>
      <c r="H76" s="7" t="str">
        <f aca="false">IFERROR(INDEX(CHECKS!$F$2:$F$2000,MATCH(C76,CHECKS!$A$2:$A$2000,0))&amp;"","")</f>
        <v>W01</v>
      </c>
      <c r="I76" s="7" t="n">
        <f aca="false">IF(H76="","",IF(COUNTIFS(SCORES!$A$2:$A$2000,A76,SCORES!$B$2:$B$2000,B76,SCORES!$C$2:$C$2000,H76,SCORES!$D$2:$D$2000,"&gt;=0")&gt;0,SUMIFS(SCORES!$D$2:$D$2000,SCORES!$A$2:$A$2000,A76,SCORES!$B$2:$B$2000,B76,SCORES!$C$2:$C$2000,H76),""))</f>
        <v>3</v>
      </c>
      <c r="J76" s="7" t="n">
        <f aca="false">IF(AND(ISNUMBER(I76),ISNUMBER(E76)),1,0)</f>
        <v>1</v>
      </c>
    </row>
    <row r="77" customFormat="false" ht="15" hidden="false" customHeight="false" outlineLevel="0" collapsed="false">
      <c r="A77" s="8" t="s">
        <v>73</v>
      </c>
      <c r="B77" s="8" t="s">
        <v>94</v>
      </c>
      <c r="C77" s="8" t="s">
        <v>23</v>
      </c>
      <c r="D77" s="8" t="n">
        <v>3</v>
      </c>
      <c r="E77" s="8" t="n">
        <v>1</v>
      </c>
      <c r="F77" s="10" t="n">
        <f aca="false">IF(COUNTIFS(SCORES!$A$2:$A$2000,A77,SCORES!$B$2:$B$2000,B77,SCORES!$C$2:$C$2000,C77,SCORES!$D$2:$D$2000,"&gt;=0")&gt;0,SUMIFS(SCORES!$D$2:$D$2000,SCORES!$A$2:$A$2000,A77,SCORES!$B$2:$B$2000,B77,SCORES!$C$2:$C$2000,C77),"")</f>
        <v>4</v>
      </c>
      <c r="G77" s="10" t="n">
        <f aca="false">IF(AND(ISNUMBER(F77),ISNUMBER(D77)),1,0)</f>
        <v>1</v>
      </c>
      <c r="H77" s="10" t="str">
        <f aca="false">IFERROR(INDEX(CHECKS!$F$2:$F$2000,MATCH(C77,CHECKS!$A$2:$A$2000,0))&amp;"","")</f>
        <v>W01</v>
      </c>
      <c r="I77" s="10" t="n">
        <f aca="false">IF(H77="","",IF(COUNTIFS(SCORES!$A$2:$A$2000,A77,SCORES!$B$2:$B$2000,B77,SCORES!$C$2:$C$2000,H77,SCORES!$D$2:$D$2000,"&gt;=0")&gt;0,SUMIFS(SCORES!$D$2:$D$2000,SCORES!$A$2:$A$2000,A77,SCORES!$B$2:$B$2000,B77,SCORES!$C$2:$C$2000,H77),""))</f>
        <v>4</v>
      </c>
      <c r="J77" s="10" t="n">
        <f aca="false">IF(AND(ISNUMBER(I77),ISNUMBER(E77)),1,0)</f>
        <v>1</v>
      </c>
    </row>
    <row r="78" customFormat="false" ht="15" hidden="false" customHeight="false" outlineLevel="0" collapsed="false">
      <c r="A78" s="5" t="s">
        <v>74</v>
      </c>
      <c r="B78" s="5" t="s">
        <v>94</v>
      </c>
      <c r="C78" s="5" t="s">
        <v>23</v>
      </c>
      <c r="D78" s="5" t="n">
        <v>1</v>
      </c>
      <c r="E78" s="5" t="n">
        <v>2</v>
      </c>
      <c r="F78" s="7" t="n">
        <f aca="false">IF(COUNTIFS(SCORES!$A$2:$A$2000,A78,SCORES!$B$2:$B$2000,B78,SCORES!$C$2:$C$2000,C78,SCORES!$D$2:$D$2000,"&gt;=0")&gt;0,SUMIFS(SCORES!$D$2:$D$2000,SCORES!$A$2:$A$2000,A78,SCORES!$B$2:$B$2000,B78,SCORES!$C$2:$C$2000,C78),"")</f>
        <v>1</v>
      </c>
      <c r="G78" s="7" t="n">
        <f aca="false">IF(AND(ISNUMBER(F78),ISNUMBER(D78)),1,0)</f>
        <v>1</v>
      </c>
      <c r="H78" s="7" t="str">
        <f aca="false">IFERROR(INDEX(CHECKS!$F$2:$F$2000,MATCH(C78,CHECKS!$A$2:$A$2000,0))&amp;"","")</f>
        <v>W01</v>
      </c>
      <c r="I78" s="7" t="n">
        <f aca="false">IF(H78="","",IF(COUNTIFS(SCORES!$A$2:$A$2000,A78,SCORES!$B$2:$B$2000,B78,SCORES!$C$2:$C$2000,H78,SCORES!$D$2:$D$2000,"&gt;=0")&gt;0,SUMIFS(SCORES!$D$2:$D$2000,SCORES!$A$2:$A$2000,A78,SCORES!$B$2:$B$2000,B78,SCORES!$C$2:$C$2000,H78),""))</f>
        <v>2</v>
      </c>
      <c r="J78" s="7" t="n">
        <f aca="false">IF(AND(ISNUMBER(I78),ISNUMBER(E78)),1,0)</f>
        <v>1</v>
      </c>
    </row>
    <row r="79" customFormat="false" ht="15" hidden="false" customHeight="false" outlineLevel="0" collapsed="false">
      <c r="A79" s="8" t="s">
        <v>75</v>
      </c>
      <c r="B79" s="8" t="s">
        <v>94</v>
      </c>
      <c r="C79" s="8" t="s">
        <v>23</v>
      </c>
      <c r="D79" s="8" t="n">
        <v>3</v>
      </c>
      <c r="E79" s="8" t="n">
        <v>1</v>
      </c>
      <c r="F79" s="10" t="n">
        <f aca="false">IF(COUNTIFS(SCORES!$A$2:$A$2000,A79,SCORES!$B$2:$B$2000,B79,SCORES!$C$2:$C$2000,C79,SCORES!$D$2:$D$2000,"&gt;=0")&gt;0,SUMIFS(SCORES!$D$2:$D$2000,SCORES!$A$2:$A$2000,A79,SCORES!$B$2:$B$2000,B79,SCORES!$C$2:$C$2000,C79),"")</f>
        <v>0</v>
      </c>
      <c r="G79" s="10" t="n">
        <f aca="false">IF(AND(ISNUMBER(F79),ISNUMBER(D79)),1,0)</f>
        <v>1</v>
      </c>
      <c r="H79" s="10" t="str">
        <f aca="false">IFERROR(INDEX(CHECKS!$F$2:$F$2000,MATCH(C79,CHECKS!$A$2:$A$2000,0))&amp;"","")</f>
        <v>W01</v>
      </c>
      <c r="I79" s="10" t="n">
        <f aca="false">IF(H79="","",IF(COUNTIFS(SCORES!$A$2:$A$2000,A79,SCORES!$B$2:$B$2000,B79,SCORES!$C$2:$C$2000,H79,SCORES!$D$2:$D$2000,"&gt;=0")&gt;0,SUMIFS(SCORES!$D$2:$D$2000,SCORES!$A$2:$A$2000,A79,SCORES!$B$2:$B$2000,B79,SCORES!$C$2:$C$2000,H79),""))</f>
        <v>3</v>
      </c>
      <c r="J79" s="10" t="n">
        <f aca="false">IF(AND(ISNUMBER(I79),ISNUMBER(E79)),1,0)</f>
        <v>1</v>
      </c>
    </row>
    <row r="80" customFormat="false" ht="15" hidden="false" customHeight="false" outlineLevel="0" collapsed="false">
      <c r="A80" s="5" t="s">
        <v>76</v>
      </c>
      <c r="B80" s="5" t="s">
        <v>94</v>
      </c>
      <c r="C80" s="5" t="s">
        <v>23</v>
      </c>
      <c r="D80" s="5" t="n">
        <v>2</v>
      </c>
      <c r="E80" s="5" t="n">
        <v>2</v>
      </c>
      <c r="F80" s="7" t="n">
        <f aca="false">IF(COUNTIFS(SCORES!$A$2:$A$2000,A80,SCORES!$B$2:$B$2000,B80,SCORES!$C$2:$C$2000,C80,SCORES!$D$2:$D$2000,"&gt;=0")&gt;0,SUMIFS(SCORES!$D$2:$D$2000,SCORES!$A$2:$A$2000,A80,SCORES!$B$2:$B$2000,B80,SCORES!$C$2:$C$2000,C80),"")</f>
        <v>3</v>
      </c>
      <c r="G80" s="7" t="n">
        <f aca="false">IF(AND(ISNUMBER(F80),ISNUMBER(D80)),1,0)</f>
        <v>1</v>
      </c>
      <c r="H80" s="7" t="str">
        <f aca="false">IFERROR(INDEX(CHECKS!$F$2:$F$2000,MATCH(C80,CHECKS!$A$2:$A$2000,0))&amp;"","")</f>
        <v>W01</v>
      </c>
      <c r="I80" s="7" t="n">
        <f aca="false">IF(H80="","",IF(COUNTIFS(SCORES!$A$2:$A$2000,A80,SCORES!$B$2:$B$2000,B80,SCORES!$C$2:$C$2000,H80,SCORES!$D$2:$D$2000,"&gt;=0")&gt;0,SUMIFS(SCORES!$D$2:$D$2000,SCORES!$A$2:$A$2000,A80,SCORES!$B$2:$B$2000,B80,SCORES!$C$2:$C$2000,H80),""))</f>
        <v>1</v>
      </c>
      <c r="J80" s="7" t="n">
        <f aca="false">IF(AND(ISNUMBER(I80),ISNUMBER(E80)),1,0)</f>
        <v>1</v>
      </c>
    </row>
    <row r="81" customFormat="false" ht="15" hidden="false" customHeight="false" outlineLevel="0" collapsed="false">
      <c r="A81" s="8" t="s">
        <v>77</v>
      </c>
      <c r="B81" s="8" t="s">
        <v>94</v>
      </c>
      <c r="C81" s="8" t="s">
        <v>23</v>
      </c>
      <c r="D81" s="8" t="n">
        <v>2</v>
      </c>
      <c r="E81" s="8" t="n">
        <v>1</v>
      </c>
      <c r="F81" s="10" t="str">
        <f aca="false">IF(COUNTIFS(SCORES!$A$2:$A$2000,A81,SCORES!$B$2:$B$2000,B81,SCORES!$C$2:$C$2000,C81,SCORES!$D$2:$D$2000,"&gt;=0")&gt;0,SUMIFS(SCORES!$D$2:$D$2000,SCORES!$A$2:$A$2000,A81,SCORES!$B$2:$B$2000,B81,SCORES!$C$2:$C$2000,C81),"")</f>
        <v/>
      </c>
      <c r="G81" s="10" t="n">
        <f aca="false">IF(AND(ISNUMBER(F81),ISNUMBER(D81)),1,0)</f>
        <v>0</v>
      </c>
      <c r="H81" s="10" t="str">
        <f aca="false">IFERROR(INDEX(CHECKS!$F$2:$F$2000,MATCH(C81,CHECKS!$A$2:$A$2000,0))&amp;"","")</f>
        <v>W01</v>
      </c>
      <c r="I81" s="10" t="n">
        <f aca="false">IF(H81="","",IF(COUNTIFS(SCORES!$A$2:$A$2000,A81,SCORES!$B$2:$B$2000,B81,SCORES!$C$2:$C$2000,H81,SCORES!$D$2:$D$2000,"&gt;=0")&gt;0,SUMIFS(SCORES!$D$2:$D$2000,SCORES!$A$2:$A$2000,A81,SCORES!$B$2:$B$2000,B81,SCORES!$C$2:$C$2000,H81),""))</f>
        <v>4</v>
      </c>
      <c r="J81" s="10" t="n">
        <f aca="false">IF(AND(ISNUMBER(I81),ISNUMBER(E81)),1,0)</f>
        <v>1</v>
      </c>
    </row>
    <row r="82" customFormat="false" ht="15" hidden="false" customHeight="false" outlineLevel="0" collapsed="false">
      <c r="A82" s="5" t="s">
        <v>78</v>
      </c>
      <c r="B82" s="5" t="s">
        <v>94</v>
      </c>
      <c r="C82" s="5" t="s">
        <v>23</v>
      </c>
      <c r="D82" s="5" t="n">
        <v>2</v>
      </c>
      <c r="E82" s="5" t="n">
        <v>1</v>
      </c>
      <c r="F82" s="7" t="n">
        <f aca="false">IF(COUNTIFS(SCORES!$A$2:$A$2000,A82,SCORES!$B$2:$B$2000,B82,SCORES!$C$2:$C$2000,C82,SCORES!$D$2:$D$2000,"&gt;=0")&gt;0,SUMIFS(SCORES!$D$2:$D$2000,SCORES!$A$2:$A$2000,A82,SCORES!$B$2:$B$2000,B82,SCORES!$C$2:$C$2000,C82),"")</f>
        <v>2</v>
      </c>
      <c r="G82" s="7" t="n">
        <f aca="false">IF(AND(ISNUMBER(F82),ISNUMBER(D82)),1,0)</f>
        <v>1</v>
      </c>
      <c r="H82" s="7" t="str">
        <f aca="false">IFERROR(INDEX(CHECKS!$F$2:$F$2000,MATCH(C82,CHECKS!$A$2:$A$2000,0))&amp;"","")</f>
        <v>W01</v>
      </c>
      <c r="I82" s="7" t="n">
        <f aca="false">IF(H82="","",IF(COUNTIFS(SCORES!$A$2:$A$2000,A82,SCORES!$B$2:$B$2000,B82,SCORES!$C$2:$C$2000,H82,SCORES!$D$2:$D$2000,"&gt;=0")&gt;0,SUMIFS(SCORES!$D$2:$D$2000,SCORES!$A$2:$A$2000,A82,SCORES!$B$2:$B$2000,B82,SCORES!$C$2:$C$2000,H82),""))</f>
        <v>2</v>
      </c>
      <c r="J82" s="7" t="n">
        <f aca="false">IF(AND(ISNUMBER(I82),ISNUMBER(E82)),1,0)</f>
        <v>1</v>
      </c>
    </row>
    <row r="83" customFormat="false" ht="15" hidden="false" customHeight="false" outlineLevel="0" collapsed="false">
      <c r="A83" s="8" t="s">
        <v>79</v>
      </c>
      <c r="B83" s="8" t="s">
        <v>94</v>
      </c>
      <c r="C83" s="8" t="s">
        <v>23</v>
      </c>
      <c r="D83" s="8" t="n">
        <v>2</v>
      </c>
      <c r="E83" s="8" t="n">
        <v>2</v>
      </c>
      <c r="F83" s="10" t="n">
        <f aca="false">IF(COUNTIFS(SCORES!$A$2:$A$2000,A83,SCORES!$B$2:$B$2000,B83,SCORES!$C$2:$C$2000,C83,SCORES!$D$2:$D$2000,"&gt;=0")&gt;0,SUMIFS(SCORES!$D$2:$D$2000,SCORES!$A$2:$A$2000,A83,SCORES!$B$2:$B$2000,B83,SCORES!$C$2:$C$2000,C83),"")</f>
        <v>4</v>
      </c>
      <c r="G83" s="10" t="n">
        <f aca="false">IF(AND(ISNUMBER(F83),ISNUMBER(D83)),1,0)</f>
        <v>1</v>
      </c>
      <c r="H83" s="10" t="str">
        <f aca="false">IFERROR(INDEX(CHECKS!$F$2:$F$2000,MATCH(C83,CHECKS!$A$2:$A$2000,0))&amp;"","")</f>
        <v>W01</v>
      </c>
      <c r="I83" s="10" t="n">
        <f aca="false">IF(H83="","",IF(COUNTIFS(SCORES!$A$2:$A$2000,A83,SCORES!$B$2:$B$2000,B83,SCORES!$C$2:$C$2000,H83,SCORES!$D$2:$D$2000,"&gt;=0")&gt;0,SUMIFS(SCORES!$D$2:$D$2000,SCORES!$A$2:$A$2000,A83,SCORES!$B$2:$B$2000,B83,SCORES!$C$2:$C$2000,H83),""))</f>
        <v>5</v>
      </c>
      <c r="J83" s="10" t="n">
        <f aca="false">IF(AND(ISNUMBER(I83),ISNUMBER(E83)),1,0)</f>
        <v>1</v>
      </c>
    </row>
    <row r="84" customFormat="false" ht="15" hidden="false" customHeight="false" outlineLevel="0" collapsed="false">
      <c r="A84" s="5" t="s">
        <v>80</v>
      </c>
      <c r="B84" s="5" t="s">
        <v>94</v>
      </c>
      <c r="C84" s="5" t="s">
        <v>23</v>
      </c>
      <c r="D84" s="5" t="n">
        <v>2</v>
      </c>
      <c r="E84" s="5" t="n">
        <v>2</v>
      </c>
      <c r="F84" s="7" t="n">
        <f aca="false">IF(COUNTIFS(SCORES!$A$2:$A$2000,A84,SCORES!$B$2:$B$2000,B84,SCORES!$C$2:$C$2000,C84,SCORES!$D$2:$D$2000,"&gt;=0")&gt;0,SUMIFS(SCORES!$D$2:$D$2000,SCORES!$A$2:$A$2000,A84,SCORES!$B$2:$B$2000,B84,SCORES!$C$2:$C$2000,C84),"")</f>
        <v>1</v>
      </c>
      <c r="G84" s="7" t="n">
        <f aca="false">IF(AND(ISNUMBER(F84),ISNUMBER(D84)),1,0)</f>
        <v>1</v>
      </c>
      <c r="H84" s="7" t="str">
        <f aca="false">IFERROR(INDEX(CHECKS!$F$2:$F$2000,MATCH(C84,CHECKS!$A$2:$A$2000,0))&amp;"","")</f>
        <v>W01</v>
      </c>
      <c r="I84" s="7" t="n">
        <f aca="false">IF(H84="","",IF(COUNTIFS(SCORES!$A$2:$A$2000,A84,SCORES!$B$2:$B$2000,B84,SCORES!$C$2:$C$2000,H84,SCORES!$D$2:$D$2000,"&gt;=0")&gt;0,SUMIFS(SCORES!$D$2:$D$2000,SCORES!$A$2:$A$2000,A84,SCORES!$B$2:$B$2000,B84,SCORES!$C$2:$C$2000,H84),""))</f>
        <v>3</v>
      </c>
      <c r="J84" s="7" t="n">
        <f aca="false">IF(AND(ISNUMBER(I84),ISNUMBER(E84)),1,0)</f>
        <v>1</v>
      </c>
    </row>
    <row r="85" customFormat="false" ht="15" hidden="false" customHeight="false" outlineLevel="0" collapsed="false">
      <c r="A85" s="8" t="s">
        <v>81</v>
      </c>
      <c r="B85" s="8" t="s">
        <v>94</v>
      </c>
      <c r="C85" s="8" t="s">
        <v>23</v>
      </c>
      <c r="D85" s="8" t="n">
        <v>1</v>
      </c>
      <c r="E85" s="8" t="n">
        <v>2</v>
      </c>
      <c r="F85" s="10" t="n">
        <f aca="false">IF(COUNTIFS(SCORES!$A$2:$A$2000,A85,SCORES!$B$2:$B$2000,B85,SCORES!$C$2:$C$2000,C85,SCORES!$D$2:$D$2000,"&gt;=0")&gt;0,SUMIFS(SCORES!$D$2:$D$2000,SCORES!$A$2:$A$2000,A85,SCORES!$B$2:$B$2000,B85,SCORES!$C$2:$C$2000,C85),"")</f>
        <v>3</v>
      </c>
      <c r="G85" s="10" t="n">
        <f aca="false">IF(AND(ISNUMBER(F85),ISNUMBER(D85)),1,0)</f>
        <v>1</v>
      </c>
      <c r="H85" s="10" t="str">
        <f aca="false">IFERROR(INDEX(CHECKS!$F$2:$F$2000,MATCH(C85,CHECKS!$A$2:$A$2000,0))&amp;"","")</f>
        <v>W01</v>
      </c>
      <c r="I85" s="10" t="n">
        <f aca="false">IF(H85="","",IF(COUNTIFS(SCORES!$A$2:$A$2000,A85,SCORES!$B$2:$B$2000,B85,SCORES!$C$2:$C$2000,H85,SCORES!$D$2:$D$2000,"&gt;=0")&gt;0,SUMIFS(SCORES!$D$2:$D$2000,SCORES!$A$2:$A$2000,A85,SCORES!$B$2:$B$2000,B85,SCORES!$C$2:$C$2000,H85),""))</f>
        <v>0</v>
      </c>
      <c r="J85" s="10" t="n">
        <f aca="false">IF(AND(ISNUMBER(I85),ISNUMBER(E85)),1,0)</f>
        <v>1</v>
      </c>
    </row>
    <row r="86" customFormat="false" ht="15" hidden="false" customHeight="false" outlineLevel="0" collapsed="false">
      <c r="A86" s="5" t="s">
        <v>82</v>
      </c>
      <c r="B86" s="5" t="s">
        <v>94</v>
      </c>
      <c r="C86" s="5" t="s">
        <v>23</v>
      </c>
      <c r="D86" s="5" t="n">
        <v>3</v>
      </c>
      <c r="E86" s="5" t="n">
        <v>1</v>
      </c>
      <c r="F86" s="7" t="n">
        <f aca="false">IF(COUNTIFS(SCORES!$A$2:$A$2000,A86,SCORES!$B$2:$B$2000,B86,SCORES!$C$2:$C$2000,C86,SCORES!$D$2:$D$2000,"&gt;=0")&gt;0,SUMIFS(SCORES!$D$2:$D$2000,SCORES!$A$2:$A$2000,A86,SCORES!$B$2:$B$2000,B86,SCORES!$C$2:$C$2000,C86),"")</f>
        <v>1</v>
      </c>
      <c r="G86" s="7" t="n">
        <f aca="false">IF(AND(ISNUMBER(F86),ISNUMBER(D86)),1,0)</f>
        <v>1</v>
      </c>
      <c r="H86" s="7" t="str">
        <f aca="false">IFERROR(INDEX(CHECKS!$F$2:$F$2000,MATCH(C86,CHECKS!$A$2:$A$2000,0))&amp;"","")</f>
        <v>W01</v>
      </c>
      <c r="I86" s="7" t="str">
        <f aca="false">IF(H86="","",IF(COUNTIFS(SCORES!$A$2:$A$2000,A86,SCORES!$B$2:$B$2000,B86,SCORES!$C$2:$C$2000,H86,SCORES!$D$2:$D$2000,"&gt;=0")&gt;0,SUMIFS(SCORES!$D$2:$D$2000,SCORES!$A$2:$A$2000,A86,SCORES!$B$2:$B$2000,B86,SCORES!$C$2:$C$2000,H86),""))</f>
        <v/>
      </c>
      <c r="J86" s="7" t="n">
        <f aca="false">IF(AND(ISNUMBER(I86),ISNUMBER(E86)),1,0)</f>
        <v>0</v>
      </c>
    </row>
    <row r="87" customFormat="false" ht="15" hidden="false" customHeight="false" outlineLevel="0" collapsed="false">
      <c r="A87" s="8" t="s">
        <v>83</v>
      </c>
      <c r="B87" s="8" t="s">
        <v>94</v>
      </c>
      <c r="C87" s="8" t="s">
        <v>23</v>
      </c>
      <c r="D87" s="8" t="n">
        <v>2</v>
      </c>
      <c r="E87" s="8" t="n">
        <v>2</v>
      </c>
      <c r="F87" s="10" t="n">
        <f aca="false">IF(COUNTIFS(SCORES!$A$2:$A$2000,A87,SCORES!$B$2:$B$2000,B87,SCORES!$C$2:$C$2000,C87,SCORES!$D$2:$D$2000,"&gt;=0")&gt;0,SUMIFS(SCORES!$D$2:$D$2000,SCORES!$A$2:$A$2000,A87,SCORES!$B$2:$B$2000,B87,SCORES!$C$2:$C$2000,C87),"")</f>
        <v>4</v>
      </c>
      <c r="G87" s="10" t="n">
        <f aca="false">IF(AND(ISNUMBER(F87),ISNUMBER(D87)),1,0)</f>
        <v>1</v>
      </c>
      <c r="H87" s="10" t="str">
        <f aca="false">IFERROR(INDEX(CHECKS!$F$2:$F$2000,MATCH(C87,CHECKS!$A$2:$A$2000,0))&amp;"","")</f>
        <v>W01</v>
      </c>
      <c r="I87" s="10" t="n">
        <f aca="false">IF(H87="","",IF(COUNTIFS(SCORES!$A$2:$A$2000,A87,SCORES!$B$2:$B$2000,B87,SCORES!$C$2:$C$2000,H87,SCORES!$D$2:$D$2000,"&gt;=0")&gt;0,SUMIFS(SCORES!$D$2:$D$2000,SCORES!$A$2:$A$2000,A87,SCORES!$B$2:$B$2000,B87,SCORES!$C$2:$C$2000,H87),""))</f>
        <v>5</v>
      </c>
      <c r="J87" s="10" t="n">
        <f aca="false">IF(AND(ISNUMBER(I87),ISNUMBER(E87)),1,0)</f>
        <v>1</v>
      </c>
    </row>
    <row r="88" customFormat="false" ht="15" hidden="false" customHeight="false" outlineLevel="0" collapsed="false">
      <c r="A88" s="5" t="s">
        <v>84</v>
      </c>
      <c r="B88" s="5" t="s">
        <v>94</v>
      </c>
      <c r="C88" s="5" t="s">
        <v>23</v>
      </c>
      <c r="D88" s="5" t="n">
        <v>3</v>
      </c>
      <c r="E88" s="5" t="n">
        <v>1</v>
      </c>
      <c r="F88" s="7" t="str">
        <f aca="false">IF(COUNTIFS(SCORES!$A$2:$A$2000,A88,SCORES!$B$2:$B$2000,B88,SCORES!$C$2:$C$2000,C88,SCORES!$D$2:$D$2000,"&gt;=0")&gt;0,SUMIFS(SCORES!$D$2:$D$2000,SCORES!$A$2:$A$2000,A88,SCORES!$B$2:$B$2000,B88,SCORES!$C$2:$C$2000,C88),"")</f>
        <v/>
      </c>
      <c r="G88" s="7" t="n">
        <f aca="false">IF(AND(ISNUMBER(F88),ISNUMBER(D88)),1,0)</f>
        <v>0</v>
      </c>
      <c r="H88" s="7" t="str">
        <f aca="false">IFERROR(INDEX(CHECKS!$F$2:$F$2000,MATCH(C88,CHECKS!$A$2:$A$2000,0))&amp;"","")</f>
        <v>W01</v>
      </c>
      <c r="I88" s="7" t="n">
        <f aca="false">IF(H88="","",IF(COUNTIFS(SCORES!$A$2:$A$2000,A88,SCORES!$B$2:$B$2000,B88,SCORES!$C$2:$C$2000,H88,SCORES!$D$2:$D$2000,"&gt;=0")&gt;0,SUMIFS(SCORES!$D$2:$D$2000,SCORES!$A$2:$A$2000,A88,SCORES!$B$2:$B$2000,B88,SCORES!$C$2:$C$2000,H88),""))</f>
        <v>1</v>
      </c>
      <c r="J88" s="7" t="n">
        <f aca="false">IF(AND(ISNUMBER(I88),ISNUMBER(E88)),1,0)</f>
        <v>1</v>
      </c>
    </row>
    <row r="89" customFormat="false" ht="15" hidden="false" customHeight="false" outlineLevel="0" collapsed="false">
      <c r="A89" s="8" t="s">
        <v>85</v>
      </c>
      <c r="B89" s="8" t="s">
        <v>94</v>
      </c>
      <c r="C89" s="8" t="s">
        <v>23</v>
      </c>
      <c r="D89" s="8" t="n">
        <v>1</v>
      </c>
      <c r="E89" s="8" t="n">
        <v>1</v>
      </c>
      <c r="F89" s="10" t="n">
        <f aca="false">IF(COUNTIFS(SCORES!$A$2:$A$2000,A89,SCORES!$B$2:$B$2000,B89,SCORES!$C$2:$C$2000,C89,SCORES!$D$2:$D$2000,"&gt;=0")&gt;0,SUMIFS(SCORES!$D$2:$D$2000,SCORES!$A$2:$A$2000,A89,SCORES!$B$2:$B$2000,B89,SCORES!$C$2:$C$2000,C89),"")</f>
        <v>5</v>
      </c>
      <c r="G89" s="10" t="n">
        <f aca="false">IF(AND(ISNUMBER(F89),ISNUMBER(D89)),1,0)</f>
        <v>1</v>
      </c>
      <c r="H89" s="10" t="str">
        <f aca="false">IFERROR(INDEX(CHECKS!$F$2:$F$2000,MATCH(C89,CHECKS!$A$2:$A$2000,0))&amp;"","")</f>
        <v>W01</v>
      </c>
      <c r="I89" s="10" t="n">
        <f aca="false">IF(H89="","",IF(COUNTIFS(SCORES!$A$2:$A$2000,A89,SCORES!$B$2:$B$2000,B89,SCORES!$C$2:$C$2000,H89,SCORES!$D$2:$D$2000,"&gt;=0")&gt;0,SUMIFS(SCORES!$D$2:$D$2000,SCORES!$A$2:$A$2000,A89,SCORES!$B$2:$B$2000,B89,SCORES!$C$2:$C$2000,H89),""))</f>
        <v>4</v>
      </c>
      <c r="J89" s="10" t="n">
        <f aca="false">IF(AND(ISNUMBER(I89),ISNUMBER(E89)),1,0)</f>
        <v>1</v>
      </c>
    </row>
    <row r="90" customFormat="false" ht="15" hidden="false" customHeight="false" outlineLevel="0" collapsed="false">
      <c r="A90" s="5" t="s">
        <v>86</v>
      </c>
      <c r="B90" s="5" t="s">
        <v>94</v>
      </c>
      <c r="C90" s="5" t="s">
        <v>23</v>
      </c>
      <c r="D90" s="5" t="n">
        <v>3</v>
      </c>
      <c r="E90" s="5" t="n">
        <v>2</v>
      </c>
      <c r="F90" s="7" t="n">
        <f aca="false">IF(COUNTIFS(SCORES!$A$2:$A$2000,A90,SCORES!$B$2:$B$2000,B90,SCORES!$C$2:$C$2000,C90,SCORES!$D$2:$D$2000,"&gt;=0")&gt;0,SUMIFS(SCORES!$D$2:$D$2000,SCORES!$A$2:$A$2000,A90,SCORES!$B$2:$B$2000,B90,SCORES!$C$2:$C$2000,C90),"")</f>
        <v>2</v>
      </c>
      <c r="G90" s="7" t="n">
        <f aca="false">IF(AND(ISNUMBER(F90),ISNUMBER(D90)),1,0)</f>
        <v>1</v>
      </c>
      <c r="H90" s="7" t="str">
        <f aca="false">IFERROR(INDEX(CHECKS!$F$2:$F$2000,MATCH(C90,CHECKS!$A$2:$A$2000,0))&amp;"","")</f>
        <v>W01</v>
      </c>
      <c r="I90" s="7" t="n">
        <f aca="false">IF(H90="","",IF(COUNTIFS(SCORES!$A$2:$A$2000,A90,SCORES!$B$2:$B$2000,B90,SCORES!$C$2:$C$2000,H90,SCORES!$D$2:$D$2000,"&gt;=0")&gt;0,SUMIFS(SCORES!$D$2:$D$2000,SCORES!$A$2:$A$2000,A90,SCORES!$B$2:$B$2000,B90,SCORES!$C$2:$C$2000,H90),""))</f>
        <v>3</v>
      </c>
      <c r="J90" s="7" t="n">
        <f aca="false">IF(AND(ISNUMBER(I90),ISNUMBER(E90)),1,0)</f>
        <v>1</v>
      </c>
    </row>
    <row r="91" customFormat="false" ht="15" hidden="false" customHeight="false" outlineLevel="0" collapsed="false">
      <c r="A91" s="8" t="s">
        <v>87</v>
      </c>
      <c r="B91" s="8" t="s">
        <v>94</v>
      </c>
      <c r="C91" s="8" t="s">
        <v>23</v>
      </c>
      <c r="D91" s="8" t="n">
        <v>0</v>
      </c>
      <c r="E91" s="8" t="n">
        <v>1</v>
      </c>
      <c r="F91" s="10" t="n">
        <f aca="false">IF(COUNTIFS(SCORES!$A$2:$A$2000,A91,SCORES!$B$2:$B$2000,B91,SCORES!$C$2:$C$2000,C91,SCORES!$D$2:$D$2000,"&gt;=0")&gt;0,SUMIFS(SCORES!$D$2:$D$2000,SCORES!$A$2:$A$2000,A91,SCORES!$B$2:$B$2000,B91,SCORES!$C$2:$C$2000,C91),"")</f>
        <v>0</v>
      </c>
      <c r="G91" s="10" t="n">
        <f aca="false">IF(AND(ISNUMBER(F91),ISNUMBER(D91)),1,0)</f>
        <v>1</v>
      </c>
      <c r="H91" s="10" t="str">
        <f aca="false">IFERROR(INDEX(CHECKS!$F$2:$F$2000,MATCH(C91,CHECKS!$A$2:$A$2000,0))&amp;"","")</f>
        <v>W01</v>
      </c>
      <c r="I91" s="10" t="n">
        <f aca="false">IF(H91="","",IF(COUNTIFS(SCORES!$A$2:$A$2000,A91,SCORES!$B$2:$B$2000,B91,SCORES!$C$2:$C$2000,H91,SCORES!$D$2:$D$2000,"&gt;=0")&gt;0,SUMIFS(SCORES!$D$2:$D$2000,SCORES!$A$2:$A$2000,A91,SCORES!$B$2:$B$2000,B91,SCORES!$C$2:$C$2000,H91),""))</f>
        <v>0</v>
      </c>
      <c r="J91" s="10" t="n">
        <f aca="false">IF(AND(ISNUMBER(I91),ISNUMBER(E91)),1,0)</f>
        <v>1</v>
      </c>
    </row>
    <row r="92" customFormat="false" ht="15" hidden="false" customHeight="false" outlineLevel="0" collapsed="false">
      <c r="A92" s="5" t="s">
        <v>88</v>
      </c>
      <c r="B92" s="5" t="s">
        <v>94</v>
      </c>
      <c r="C92" s="5" t="s">
        <v>23</v>
      </c>
      <c r="D92" s="5" t="n">
        <v>3</v>
      </c>
      <c r="E92" s="5" t="n">
        <v>2</v>
      </c>
      <c r="F92" s="7" t="n">
        <f aca="false">IF(COUNTIFS(SCORES!$A$2:$A$2000,A92,SCORES!$B$2:$B$2000,B92,SCORES!$C$2:$C$2000,C92,SCORES!$D$2:$D$2000,"&gt;=0")&gt;0,SUMIFS(SCORES!$D$2:$D$2000,SCORES!$A$2:$A$2000,A92,SCORES!$B$2:$B$2000,B92,SCORES!$C$2:$C$2000,C92),"")</f>
        <v>5</v>
      </c>
      <c r="G92" s="7" t="n">
        <f aca="false">IF(AND(ISNUMBER(F92),ISNUMBER(D92)),1,0)</f>
        <v>1</v>
      </c>
      <c r="H92" s="7" t="str">
        <f aca="false">IFERROR(INDEX(CHECKS!$F$2:$F$2000,MATCH(C92,CHECKS!$A$2:$A$2000,0))&amp;"","")</f>
        <v>W01</v>
      </c>
      <c r="I92" s="7" t="n">
        <f aca="false">IF(H92="","",IF(COUNTIFS(SCORES!$A$2:$A$2000,A92,SCORES!$B$2:$B$2000,B92,SCORES!$C$2:$C$2000,H92,SCORES!$D$2:$D$2000,"&gt;=0")&gt;0,SUMIFS(SCORES!$D$2:$D$2000,SCORES!$A$2:$A$2000,A92,SCORES!$B$2:$B$2000,B92,SCORES!$C$2:$C$2000,H92),""))</f>
        <v>2</v>
      </c>
      <c r="J92" s="7" t="n">
        <f aca="false">IF(AND(ISNUMBER(I92),ISNUMBER(E92)),1,0)</f>
        <v>1</v>
      </c>
    </row>
    <row r="93" customFormat="false" ht="15" hidden="false" customHeight="false" outlineLevel="0" collapsed="false">
      <c r="A93" s="8" t="s">
        <v>90</v>
      </c>
      <c r="B93" s="8" t="s">
        <v>94</v>
      </c>
      <c r="C93" s="8" t="s">
        <v>23</v>
      </c>
      <c r="D93" s="8" t="n">
        <v>1</v>
      </c>
      <c r="E93" s="8" t="n">
        <v>0</v>
      </c>
      <c r="F93" s="10" t="n">
        <f aca="false">IF(COUNTIFS(SCORES!$A$2:$A$2000,A93,SCORES!$B$2:$B$2000,B93,SCORES!$C$2:$C$2000,C93,SCORES!$D$2:$D$2000,"&gt;=0")&gt;0,SUMIFS(SCORES!$D$2:$D$2000,SCORES!$A$2:$A$2000,A93,SCORES!$B$2:$B$2000,B93,SCORES!$C$2:$C$2000,C93),"")</f>
        <v>0</v>
      </c>
      <c r="G93" s="10" t="n">
        <f aca="false">IF(AND(ISNUMBER(F93),ISNUMBER(D93)),1,0)</f>
        <v>1</v>
      </c>
      <c r="H93" s="10" t="str">
        <f aca="false">IFERROR(INDEX(CHECKS!$F$2:$F$2000,MATCH(C93,CHECKS!$A$2:$A$2000,0))&amp;"","")</f>
        <v>W01</v>
      </c>
      <c r="I93" s="10" t="n">
        <f aca="false">IF(H93="","",IF(COUNTIFS(SCORES!$A$2:$A$2000,A93,SCORES!$B$2:$B$2000,B93,SCORES!$C$2:$C$2000,H93,SCORES!$D$2:$D$2000,"&gt;=0")&gt;0,SUMIFS(SCORES!$D$2:$D$2000,SCORES!$A$2:$A$2000,A93,SCORES!$B$2:$B$2000,B93,SCORES!$C$2:$C$2000,H93),""))</f>
        <v>1</v>
      </c>
      <c r="J93" s="10" t="n">
        <f aca="false">IF(AND(ISNUMBER(I93),ISNUMBER(E93)),1,0)</f>
        <v>1</v>
      </c>
    </row>
    <row r="94" customFormat="false" ht="15" hidden="false" customHeight="false" outlineLevel="0" collapsed="false">
      <c r="A94" s="5" t="s">
        <v>91</v>
      </c>
      <c r="B94" s="5" t="s">
        <v>94</v>
      </c>
      <c r="C94" s="5" t="s">
        <v>23</v>
      </c>
      <c r="D94" s="5" t="n">
        <v>3</v>
      </c>
      <c r="E94" s="5" t="n">
        <v>1</v>
      </c>
      <c r="F94" s="7" t="n">
        <f aca="false">IF(COUNTIFS(SCORES!$A$2:$A$2000,A94,SCORES!$B$2:$B$2000,B94,SCORES!$C$2:$C$2000,C94,SCORES!$D$2:$D$2000,"&gt;=0")&gt;0,SUMIFS(SCORES!$D$2:$D$2000,SCORES!$A$2:$A$2000,A94,SCORES!$B$2:$B$2000,B94,SCORES!$C$2:$C$2000,C94),"")</f>
        <v>1</v>
      </c>
      <c r="G94" s="7" t="n">
        <f aca="false">IF(AND(ISNUMBER(F94),ISNUMBER(D94)),1,0)</f>
        <v>1</v>
      </c>
      <c r="H94" s="7" t="str">
        <f aca="false">IFERROR(INDEX(CHECKS!$F$2:$F$2000,MATCH(C94,CHECKS!$A$2:$A$2000,0))&amp;"","")</f>
        <v>W01</v>
      </c>
      <c r="I94" s="7" t="n">
        <f aca="false">IF(H94="","",IF(COUNTIFS(SCORES!$A$2:$A$2000,A94,SCORES!$B$2:$B$2000,B94,SCORES!$C$2:$C$2000,H94,SCORES!$D$2:$D$2000,"&gt;=0")&gt;0,SUMIFS(SCORES!$D$2:$D$2000,SCORES!$A$2:$A$2000,A94,SCORES!$B$2:$B$2000,B94,SCORES!$C$2:$C$2000,H94),""))</f>
        <v>2</v>
      </c>
      <c r="J94" s="7" t="n">
        <f aca="false">IF(AND(ISNUMBER(I94),ISNUMBER(E94)),1,0)</f>
        <v>1</v>
      </c>
    </row>
    <row r="95" customFormat="false" ht="15" hidden="false" customHeight="false" outlineLevel="0" collapsed="false">
      <c r="A95" s="8" t="s">
        <v>92</v>
      </c>
      <c r="B95" s="8" t="s">
        <v>94</v>
      </c>
      <c r="C95" s="8" t="s">
        <v>23</v>
      </c>
      <c r="D95" s="8" t="n">
        <v>3</v>
      </c>
      <c r="E95" s="8" t="n">
        <v>2</v>
      </c>
      <c r="F95" s="10" t="n">
        <f aca="false">IF(COUNTIFS(SCORES!$A$2:$A$2000,A95,SCORES!$B$2:$B$2000,B95,SCORES!$C$2:$C$2000,C95,SCORES!$D$2:$D$2000,"&gt;=0")&gt;0,SUMIFS(SCORES!$D$2:$D$2000,SCORES!$A$2:$A$2000,A95,SCORES!$B$2:$B$2000,B95,SCORES!$C$2:$C$2000,C95),"")</f>
        <v>2</v>
      </c>
      <c r="G95" s="10" t="n">
        <f aca="false">IF(AND(ISNUMBER(F95),ISNUMBER(D95)),1,0)</f>
        <v>1</v>
      </c>
      <c r="H95" s="10" t="str">
        <f aca="false">IFERROR(INDEX(CHECKS!$F$2:$F$2000,MATCH(C95,CHECKS!$A$2:$A$2000,0))&amp;"","")</f>
        <v>W01</v>
      </c>
      <c r="I95" s="10" t="n">
        <f aca="false">IF(H95="","",IF(COUNTIFS(SCORES!$A$2:$A$2000,A95,SCORES!$B$2:$B$2000,B95,SCORES!$C$2:$C$2000,H95,SCORES!$D$2:$D$2000,"&gt;=0")&gt;0,SUMIFS(SCORES!$D$2:$D$2000,SCORES!$A$2:$A$2000,A95,SCORES!$B$2:$B$2000,B95,SCORES!$C$2:$C$2000,H95),""))</f>
        <v>3</v>
      </c>
      <c r="J95" s="10" t="n">
        <f aca="false">IF(AND(ISNUMBER(I95),ISNUMBER(E95)),1,0)</f>
        <v>1</v>
      </c>
    </row>
    <row r="96" customFormat="false" ht="15" hidden="false" customHeight="false" outlineLevel="0" collapsed="false">
      <c r="A96" s="5" t="s">
        <v>93</v>
      </c>
      <c r="B96" s="5" t="s">
        <v>94</v>
      </c>
      <c r="C96" s="5" t="s">
        <v>23</v>
      </c>
      <c r="D96" s="5" t="n">
        <v>1</v>
      </c>
      <c r="E96" s="5" t="n">
        <v>1</v>
      </c>
      <c r="F96" s="7" t="n">
        <f aca="false">IF(COUNTIFS(SCORES!$A$2:$A$2000,A96,SCORES!$B$2:$B$2000,B96,SCORES!$C$2:$C$2000,C96,SCORES!$D$2:$D$2000,"&gt;=0")&gt;0,SUMIFS(SCORES!$D$2:$D$2000,SCORES!$A$2:$A$2000,A96,SCORES!$B$2:$B$2000,B96,SCORES!$C$2:$C$2000,C96),"")</f>
        <v>2</v>
      </c>
      <c r="G96" s="7" t="n">
        <f aca="false">IF(AND(ISNUMBER(F96),ISNUMBER(D96)),1,0)</f>
        <v>1</v>
      </c>
      <c r="H96" s="7" t="str">
        <f aca="false">IFERROR(INDEX(CHECKS!$F$2:$F$2000,MATCH(C96,CHECKS!$A$2:$A$2000,0))&amp;"","")</f>
        <v>W01</v>
      </c>
      <c r="I96" s="7" t="n">
        <f aca="false">IF(H96="","",IF(COUNTIFS(SCORES!$A$2:$A$2000,A96,SCORES!$B$2:$B$2000,B96,SCORES!$C$2:$C$2000,H96,SCORES!$D$2:$D$2000,"&gt;=0")&gt;0,SUMIFS(SCORES!$D$2:$D$2000,SCORES!$A$2:$A$2000,A96,SCORES!$B$2:$B$2000,B96,SCORES!$C$2:$C$2000,H96),""))</f>
        <v>4</v>
      </c>
      <c r="J96" s="7" t="n">
        <f aca="false">IF(AND(ISNUMBER(I96),ISNUMBER(E96)),1,0)</f>
        <v>1</v>
      </c>
    </row>
    <row r="97" customFormat="false" ht="15" hidden="false" customHeight="false" outlineLevel="0" collapsed="false">
      <c r="A97" s="8" t="s">
        <v>67</v>
      </c>
      <c r="B97" s="8" t="s">
        <v>68</v>
      </c>
      <c r="C97" s="8" t="s">
        <v>25</v>
      </c>
      <c r="D97" s="8" t="n">
        <v>3</v>
      </c>
      <c r="E97" s="8" t="n">
        <v>1</v>
      </c>
      <c r="F97" s="10" t="n">
        <f aca="false">IF(COUNTIFS(SCORES!$A$2:$A$2000,A97,SCORES!$B$2:$B$2000,B97,SCORES!$C$2:$C$2000,C97,SCORES!$D$2:$D$2000,"&gt;=0")&gt;0,SUMIFS(SCORES!$D$2:$D$2000,SCORES!$A$2:$A$2000,A97,SCORES!$B$2:$B$2000,B97,SCORES!$C$2:$C$2000,C97),"")</f>
        <v>4</v>
      </c>
      <c r="G97" s="10" t="n">
        <f aca="false">IF(AND(ISNUMBER(F97),ISNUMBER(D97)),1,0)</f>
        <v>1</v>
      </c>
      <c r="H97" s="10" t="str">
        <f aca="false">IFERROR(INDEX(CHECKS!$F$2:$F$2000,MATCH(C97,CHECKS!$A$2:$A$2000,0))&amp;"","")</f>
        <v>W02</v>
      </c>
      <c r="I97" s="10" t="n">
        <f aca="false">IF(H97="","",IF(COUNTIFS(SCORES!$A$2:$A$2000,A97,SCORES!$B$2:$B$2000,B97,SCORES!$C$2:$C$2000,H97,SCORES!$D$2:$D$2000,"&gt;=0")&gt;0,SUMIFS(SCORES!$D$2:$D$2000,SCORES!$A$2:$A$2000,A97,SCORES!$B$2:$B$2000,B97,SCORES!$C$2:$C$2000,H97),""))</f>
        <v>3</v>
      </c>
      <c r="J97" s="10" t="n">
        <f aca="false">IF(AND(ISNUMBER(I97),ISNUMBER(E97)),1,0)</f>
        <v>1</v>
      </c>
    </row>
    <row r="98" customFormat="false" ht="15" hidden="false" customHeight="false" outlineLevel="0" collapsed="false">
      <c r="A98" s="5" t="s">
        <v>69</v>
      </c>
      <c r="B98" s="5" t="s">
        <v>68</v>
      </c>
      <c r="C98" s="5" t="s">
        <v>25</v>
      </c>
      <c r="D98" s="5" t="n">
        <v>3</v>
      </c>
      <c r="E98" s="5" t="n">
        <v>1</v>
      </c>
      <c r="F98" s="7" t="n">
        <f aca="false">IF(COUNTIFS(SCORES!$A$2:$A$2000,A98,SCORES!$B$2:$B$2000,B98,SCORES!$C$2:$C$2000,C98,SCORES!$D$2:$D$2000,"&gt;=0")&gt;0,SUMIFS(SCORES!$D$2:$D$2000,SCORES!$A$2:$A$2000,A98,SCORES!$B$2:$B$2000,B98,SCORES!$C$2:$C$2000,C98),"")</f>
        <v>3</v>
      </c>
      <c r="G98" s="7" t="n">
        <f aca="false">IF(AND(ISNUMBER(F98),ISNUMBER(D98)),1,0)</f>
        <v>1</v>
      </c>
      <c r="H98" s="7" t="str">
        <f aca="false">IFERROR(INDEX(CHECKS!$F$2:$F$2000,MATCH(C98,CHECKS!$A$2:$A$2000,0))&amp;"","")</f>
        <v>W02</v>
      </c>
      <c r="I98" s="7" t="n">
        <f aca="false">IF(H98="","",IF(COUNTIFS(SCORES!$A$2:$A$2000,A98,SCORES!$B$2:$B$2000,B98,SCORES!$C$2:$C$2000,H98,SCORES!$D$2:$D$2000,"&gt;=0")&gt;0,SUMIFS(SCORES!$D$2:$D$2000,SCORES!$A$2:$A$2000,A98,SCORES!$B$2:$B$2000,B98,SCORES!$C$2:$C$2000,H98),""))</f>
        <v>2</v>
      </c>
      <c r="J98" s="7" t="n">
        <f aca="false">IF(AND(ISNUMBER(I98),ISNUMBER(E98)),1,0)</f>
        <v>1</v>
      </c>
    </row>
    <row r="99" customFormat="false" ht="15" hidden="false" customHeight="false" outlineLevel="0" collapsed="false">
      <c r="A99" s="8" t="s">
        <v>71</v>
      </c>
      <c r="B99" s="8" t="s">
        <v>68</v>
      </c>
      <c r="C99" s="8" t="s">
        <v>25</v>
      </c>
      <c r="D99" s="8" t="n">
        <v>3</v>
      </c>
      <c r="E99" s="8" t="n">
        <v>1</v>
      </c>
      <c r="F99" s="10" t="n">
        <f aca="false">IF(COUNTIFS(SCORES!$A$2:$A$2000,A99,SCORES!$B$2:$B$2000,B99,SCORES!$C$2:$C$2000,C99,SCORES!$D$2:$D$2000,"&gt;=0")&gt;0,SUMIFS(SCORES!$D$2:$D$2000,SCORES!$A$2:$A$2000,A99,SCORES!$B$2:$B$2000,B99,SCORES!$C$2:$C$2000,C99),"")</f>
        <v>5</v>
      </c>
      <c r="G99" s="10" t="n">
        <f aca="false">IF(AND(ISNUMBER(F99),ISNUMBER(D99)),1,0)</f>
        <v>1</v>
      </c>
      <c r="H99" s="10" t="str">
        <f aca="false">IFERROR(INDEX(CHECKS!$F$2:$F$2000,MATCH(C99,CHECKS!$A$2:$A$2000,0))&amp;"","")</f>
        <v>W02</v>
      </c>
      <c r="I99" s="10" t="str">
        <f aca="false">IF(H99="","",IF(COUNTIFS(SCORES!$A$2:$A$2000,A99,SCORES!$B$2:$B$2000,B99,SCORES!$C$2:$C$2000,H99,SCORES!$D$2:$D$2000,"&gt;=0")&gt;0,SUMIFS(SCORES!$D$2:$D$2000,SCORES!$A$2:$A$2000,A99,SCORES!$B$2:$B$2000,B99,SCORES!$C$2:$C$2000,H99),""))</f>
        <v/>
      </c>
      <c r="J99" s="10" t="n">
        <f aca="false">IF(AND(ISNUMBER(I99),ISNUMBER(E99)),1,0)</f>
        <v>0</v>
      </c>
    </row>
    <row r="100" customFormat="false" ht="15" hidden="false" customHeight="false" outlineLevel="0" collapsed="false">
      <c r="A100" s="5" t="s">
        <v>72</v>
      </c>
      <c r="B100" s="5" t="s">
        <v>68</v>
      </c>
      <c r="C100" s="5" t="s">
        <v>25</v>
      </c>
      <c r="D100" s="5" t="n">
        <v>3</v>
      </c>
      <c r="E100" s="5" t="n">
        <v>0</v>
      </c>
      <c r="F100" s="7" t="n">
        <f aca="false">IF(COUNTIFS(SCORES!$A$2:$A$2000,A100,SCORES!$B$2:$B$2000,B100,SCORES!$C$2:$C$2000,C100,SCORES!$D$2:$D$2000,"&gt;=0")&gt;0,SUMIFS(SCORES!$D$2:$D$2000,SCORES!$A$2:$A$2000,A100,SCORES!$B$2:$B$2000,B100,SCORES!$C$2:$C$2000,C100),"")</f>
        <v>3</v>
      </c>
      <c r="G100" s="7" t="n">
        <f aca="false">IF(AND(ISNUMBER(F100),ISNUMBER(D100)),1,0)</f>
        <v>1</v>
      </c>
      <c r="H100" s="7" t="str">
        <f aca="false">IFERROR(INDEX(CHECKS!$F$2:$F$2000,MATCH(C100,CHECKS!$A$2:$A$2000,0))&amp;"","")</f>
        <v>W02</v>
      </c>
      <c r="I100" s="7" t="n">
        <f aca="false">IF(H100="","",IF(COUNTIFS(SCORES!$A$2:$A$2000,A100,SCORES!$B$2:$B$2000,B100,SCORES!$C$2:$C$2000,H100,SCORES!$D$2:$D$2000,"&gt;=0")&gt;0,SUMIFS(SCORES!$D$2:$D$2000,SCORES!$A$2:$A$2000,A100,SCORES!$B$2:$B$2000,B100,SCORES!$C$2:$C$2000,H100),""))</f>
        <v>3</v>
      </c>
      <c r="J100" s="7" t="n">
        <f aca="false">IF(AND(ISNUMBER(I100),ISNUMBER(E100)),1,0)</f>
        <v>1</v>
      </c>
    </row>
    <row r="101" customFormat="false" ht="15" hidden="false" customHeight="false" outlineLevel="0" collapsed="false">
      <c r="A101" s="8" t="s">
        <v>73</v>
      </c>
      <c r="B101" s="8" t="s">
        <v>68</v>
      </c>
      <c r="C101" s="8" t="s">
        <v>25</v>
      </c>
      <c r="D101" s="8" t="n">
        <v>1</v>
      </c>
      <c r="E101" s="8" t="n">
        <v>1</v>
      </c>
      <c r="F101" s="10" t="n">
        <f aca="false">IF(COUNTIFS(SCORES!$A$2:$A$2000,A101,SCORES!$B$2:$B$2000,B101,SCORES!$C$2:$C$2000,C101,SCORES!$D$2:$D$2000,"&gt;=0")&gt;0,SUMIFS(SCORES!$D$2:$D$2000,SCORES!$A$2:$A$2000,A101,SCORES!$B$2:$B$2000,B101,SCORES!$C$2:$C$2000,C101),"")</f>
        <v>4</v>
      </c>
      <c r="G101" s="10" t="n">
        <f aca="false">IF(AND(ISNUMBER(F101),ISNUMBER(D101)),1,0)</f>
        <v>1</v>
      </c>
      <c r="H101" s="10" t="str">
        <f aca="false">IFERROR(INDEX(CHECKS!$F$2:$F$2000,MATCH(C101,CHECKS!$A$2:$A$2000,0))&amp;"","")</f>
        <v>W02</v>
      </c>
      <c r="I101" s="10" t="n">
        <f aca="false">IF(H101="","",IF(COUNTIFS(SCORES!$A$2:$A$2000,A101,SCORES!$B$2:$B$2000,B101,SCORES!$C$2:$C$2000,H101,SCORES!$D$2:$D$2000,"&gt;=0")&gt;0,SUMIFS(SCORES!$D$2:$D$2000,SCORES!$A$2:$A$2000,A101,SCORES!$B$2:$B$2000,B101,SCORES!$C$2:$C$2000,H101),""))</f>
        <v>2</v>
      </c>
      <c r="J101" s="10" t="n">
        <f aca="false">IF(AND(ISNUMBER(I101),ISNUMBER(E101)),1,0)</f>
        <v>1</v>
      </c>
    </row>
    <row r="102" customFormat="false" ht="15" hidden="false" customHeight="false" outlineLevel="0" collapsed="false">
      <c r="A102" s="5" t="s">
        <v>74</v>
      </c>
      <c r="B102" s="5" t="s">
        <v>68</v>
      </c>
      <c r="C102" s="5" t="s">
        <v>25</v>
      </c>
      <c r="D102" s="5" t="n">
        <v>3</v>
      </c>
      <c r="E102" s="5" t="n">
        <v>0</v>
      </c>
      <c r="F102" s="7" t="n">
        <f aca="false">IF(COUNTIFS(SCORES!$A$2:$A$2000,A102,SCORES!$B$2:$B$2000,B102,SCORES!$C$2:$C$2000,C102,SCORES!$D$2:$D$2000,"&gt;=0")&gt;0,SUMIFS(SCORES!$D$2:$D$2000,SCORES!$A$2:$A$2000,A102,SCORES!$B$2:$B$2000,B102,SCORES!$C$2:$C$2000,C102),"")</f>
        <v>3</v>
      </c>
      <c r="G102" s="7" t="n">
        <f aca="false">IF(AND(ISNUMBER(F102),ISNUMBER(D102)),1,0)</f>
        <v>1</v>
      </c>
      <c r="H102" s="7" t="str">
        <f aca="false">IFERROR(INDEX(CHECKS!$F$2:$F$2000,MATCH(C102,CHECKS!$A$2:$A$2000,0))&amp;"","")</f>
        <v>W02</v>
      </c>
      <c r="I102" s="7" t="str">
        <f aca="false">IF(H102="","",IF(COUNTIFS(SCORES!$A$2:$A$2000,A102,SCORES!$B$2:$B$2000,B102,SCORES!$C$2:$C$2000,H102,SCORES!$D$2:$D$2000,"&gt;=0")&gt;0,SUMIFS(SCORES!$D$2:$D$2000,SCORES!$A$2:$A$2000,A102,SCORES!$B$2:$B$2000,B102,SCORES!$C$2:$C$2000,H102),""))</f>
        <v/>
      </c>
      <c r="J102" s="7" t="n">
        <f aca="false">IF(AND(ISNUMBER(I102),ISNUMBER(E102)),1,0)</f>
        <v>0</v>
      </c>
    </row>
    <row r="103" customFormat="false" ht="15" hidden="false" customHeight="false" outlineLevel="0" collapsed="false">
      <c r="A103" s="8" t="s">
        <v>75</v>
      </c>
      <c r="B103" s="8" t="s">
        <v>68</v>
      </c>
      <c r="C103" s="8" t="s">
        <v>25</v>
      </c>
      <c r="D103" s="8" t="n">
        <v>3</v>
      </c>
      <c r="E103" s="8" t="n">
        <v>1</v>
      </c>
      <c r="F103" s="10" t="n">
        <f aca="false">IF(COUNTIFS(SCORES!$A$2:$A$2000,A103,SCORES!$B$2:$B$2000,B103,SCORES!$C$2:$C$2000,C103,SCORES!$D$2:$D$2000,"&gt;=0")&gt;0,SUMIFS(SCORES!$D$2:$D$2000,SCORES!$A$2:$A$2000,A103,SCORES!$B$2:$B$2000,B103,SCORES!$C$2:$C$2000,C103),"")</f>
        <v>4</v>
      </c>
      <c r="G103" s="10" t="n">
        <f aca="false">IF(AND(ISNUMBER(F103),ISNUMBER(D103)),1,0)</f>
        <v>1</v>
      </c>
      <c r="H103" s="10" t="str">
        <f aca="false">IFERROR(INDEX(CHECKS!$F$2:$F$2000,MATCH(C103,CHECKS!$A$2:$A$2000,0))&amp;"","")</f>
        <v>W02</v>
      </c>
      <c r="I103" s="10" t="n">
        <f aca="false">IF(H103="","",IF(COUNTIFS(SCORES!$A$2:$A$2000,A103,SCORES!$B$2:$B$2000,B103,SCORES!$C$2:$C$2000,H103,SCORES!$D$2:$D$2000,"&gt;=0")&gt;0,SUMIFS(SCORES!$D$2:$D$2000,SCORES!$A$2:$A$2000,A103,SCORES!$B$2:$B$2000,B103,SCORES!$C$2:$C$2000,H103),""))</f>
        <v>3</v>
      </c>
      <c r="J103" s="10" t="n">
        <f aca="false">IF(AND(ISNUMBER(I103),ISNUMBER(E103)),1,0)</f>
        <v>1</v>
      </c>
    </row>
    <row r="104" customFormat="false" ht="15" hidden="false" customHeight="false" outlineLevel="0" collapsed="false">
      <c r="A104" s="5" t="s">
        <v>76</v>
      </c>
      <c r="B104" s="5" t="s">
        <v>68</v>
      </c>
      <c r="C104" s="5" t="s">
        <v>25</v>
      </c>
      <c r="D104" s="5" t="n">
        <v>3</v>
      </c>
      <c r="E104" s="5" t="n">
        <v>2</v>
      </c>
      <c r="F104" s="7" t="n">
        <f aca="false">IF(COUNTIFS(SCORES!$A$2:$A$2000,A104,SCORES!$B$2:$B$2000,B104,SCORES!$C$2:$C$2000,C104,SCORES!$D$2:$D$2000,"&gt;=0")&gt;0,SUMIFS(SCORES!$D$2:$D$2000,SCORES!$A$2:$A$2000,A104,SCORES!$B$2:$B$2000,B104,SCORES!$C$2:$C$2000,C104),"")</f>
        <v>3</v>
      </c>
      <c r="G104" s="7" t="n">
        <f aca="false">IF(AND(ISNUMBER(F104),ISNUMBER(D104)),1,0)</f>
        <v>1</v>
      </c>
      <c r="H104" s="7" t="str">
        <f aca="false">IFERROR(INDEX(CHECKS!$F$2:$F$2000,MATCH(C104,CHECKS!$A$2:$A$2000,0))&amp;"","")</f>
        <v>W02</v>
      </c>
      <c r="I104" s="7" t="n">
        <f aca="false">IF(H104="","",IF(COUNTIFS(SCORES!$A$2:$A$2000,A104,SCORES!$B$2:$B$2000,B104,SCORES!$C$2:$C$2000,H104,SCORES!$D$2:$D$2000,"&gt;=0")&gt;0,SUMIFS(SCORES!$D$2:$D$2000,SCORES!$A$2:$A$2000,A104,SCORES!$B$2:$B$2000,B104,SCORES!$C$2:$C$2000,H104),""))</f>
        <v>3</v>
      </c>
      <c r="J104" s="7" t="n">
        <f aca="false">IF(AND(ISNUMBER(I104),ISNUMBER(E104)),1,0)</f>
        <v>1</v>
      </c>
    </row>
    <row r="105" customFormat="false" ht="15" hidden="false" customHeight="false" outlineLevel="0" collapsed="false">
      <c r="A105" s="8" t="s">
        <v>77</v>
      </c>
      <c r="B105" s="8" t="s">
        <v>68</v>
      </c>
      <c r="C105" s="8" t="s">
        <v>25</v>
      </c>
      <c r="D105" s="8" t="n">
        <v>3</v>
      </c>
      <c r="E105" s="8" t="n">
        <v>2</v>
      </c>
      <c r="F105" s="10" t="n">
        <f aca="false">IF(COUNTIFS(SCORES!$A$2:$A$2000,A105,SCORES!$B$2:$B$2000,B105,SCORES!$C$2:$C$2000,C105,SCORES!$D$2:$D$2000,"&gt;=0")&gt;0,SUMIFS(SCORES!$D$2:$D$2000,SCORES!$A$2:$A$2000,A105,SCORES!$B$2:$B$2000,B105,SCORES!$C$2:$C$2000,C105),"")</f>
        <v>4</v>
      </c>
      <c r="G105" s="10" t="n">
        <f aca="false">IF(AND(ISNUMBER(F105),ISNUMBER(D105)),1,0)</f>
        <v>1</v>
      </c>
      <c r="H105" s="10" t="str">
        <f aca="false">IFERROR(INDEX(CHECKS!$F$2:$F$2000,MATCH(C105,CHECKS!$A$2:$A$2000,0))&amp;"","")</f>
        <v>W02</v>
      </c>
      <c r="I105" s="10" t="n">
        <f aca="false">IF(H105="","",IF(COUNTIFS(SCORES!$A$2:$A$2000,A105,SCORES!$B$2:$B$2000,B105,SCORES!$C$2:$C$2000,H105,SCORES!$D$2:$D$2000,"&gt;=0")&gt;0,SUMIFS(SCORES!$D$2:$D$2000,SCORES!$A$2:$A$2000,A105,SCORES!$B$2:$B$2000,B105,SCORES!$C$2:$C$2000,H105),""))</f>
        <v>4</v>
      </c>
      <c r="J105" s="10" t="n">
        <f aca="false">IF(AND(ISNUMBER(I105),ISNUMBER(E105)),1,0)</f>
        <v>1</v>
      </c>
    </row>
    <row r="106" customFormat="false" ht="15" hidden="false" customHeight="false" outlineLevel="0" collapsed="false">
      <c r="A106" s="5" t="s">
        <v>79</v>
      </c>
      <c r="B106" s="5" t="s">
        <v>68</v>
      </c>
      <c r="C106" s="5" t="s">
        <v>25</v>
      </c>
      <c r="D106" s="5" t="n">
        <v>2</v>
      </c>
      <c r="E106" s="5" t="n">
        <v>0</v>
      </c>
      <c r="F106" s="7" t="n">
        <f aca="false">IF(COUNTIFS(SCORES!$A$2:$A$2000,A106,SCORES!$B$2:$B$2000,B106,SCORES!$C$2:$C$2000,C106,SCORES!$D$2:$D$2000,"&gt;=0")&gt;0,SUMIFS(SCORES!$D$2:$D$2000,SCORES!$A$2:$A$2000,A106,SCORES!$B$2:$B$2000,B106,SCORES!$C$2:$C$2000,C106),"")</f>
        <v>3</v>
      </c>
      <c r="G106" s="7" t="n">
        <f aca="false">IF(AND(ISNUMBER(F106),ISNUMBER(D106)),1,0)</f>
        <v>1</v>
      </c>
      <c r="H106" s="7" t="str">
        <f aca="false">IFERROR(INDEX(CHECKS!$F$2:$F$2000,MATCH(C106,CHECKS!$A$2:$A$2000,0))&amp;"","")</f>
        <v>W02</v>
      </c>
      <c r="I106" s="7" t="n">
        <f aca="false">IF(H106="","",IF(COUNTIFS(SCORES!$A$2:$A$2000,A106,SCORES!$B$2:$B$2000,B106,SCORES!$C$2:$C$2000,H106,SCORES!$D$2:$D$2000,"&gt;=0")&gt;0,SUMIFS(SCORES!$D$2:$D$2000,SCORES!$A$2:$A$2000,A106,SCORES!$B$2:$B$2000,B106,SCORES!$C$2:$C$2000,H106),""))</f>
        <v>5</v>
      </c>
      <c r="J106" s="7" t="n">
        <f aca="false">IF(AND(ISNUMBER(I106),ISNUMBER(E106)),1,0)</f>
        <v>1</v>
      </c>
    </row>
    <row r="107" customFormat="false" ht="15" hidden="false" customHeight="false" outlineLevel="0" collapsed="false">
      <c r="A107" s="8" t="s">
        <v>80</v>
      </c>
      <c r="B107" s="8" t="s">
        <v>68</v>
      </c>
      <c r="C107" s="8" t="s">
        <v>25</v>
      </c>
      <c r="D107" s="8" t="n">
        <v>3</v>
      </c>
      <c r="E107" s="8" t="n">
        <v>1</v>
      </c>
      <c r="F107" s="10" t="n">
        <f aca="false">IF(COUNTIFS(SCORES!$A$2:$A$2000,A107,SCORES!$B$2:$B$2000,B107,SCORES!$C$2:$C$2000,C107,SCORES!$D$2:$D$2000,"&gt;=0")&gt;0,SUMIFS(SCORES!$D$2:$D$2000,SCORES!$A$2:$A$2000,A107,SCORES!$B$2:$B$2000,B107,SCORES!$C$2:$C$2000,C107),"")</f>
        <v>3</v>
      </c>
      <c r="G107" s="10" t="n">
        <f aca="false">IF(AND(ISNUMBER(F107),ISNUMBER(D107)),1,0)</f>
        <v>1</v>
      </c>
      <c r="H107" s="10" t="str">
        <f aca="false">IFERROR(INDEX(CHECKS!$F$2:$F$2000,MATCH(C107,CHECKS!$A$2:$A$2000,0))&amp;"","")</f>
        <v>W02</v>
      </c>
      <c r="I107" s="10" t="n">
        <f aca="false">IF(H107="","",IF(COUNTIFS(SCORES!$A$2:$A$2000,A107,SCORES!$B$2:$B$2000,B107,SCORES!$C$2:$C$2000,H107,SCORES!$D$2:$D$2000,"&gt;=0")&gt;0,SUMIFS(SCORES!$D$2:$D$2000,SCORES!$A$2:$A$2000,A107,SCORES!$B$2:$B$2000,B107,SCORES!$C$2:$C$2000,H107),""))</f>
        <v>4</v>
      </c>
      <c r="J107" s="10" t="n">
        <f aca="false">IF(AND(ISNUMBER(I107),ISNUMBER(E107)),1,0)</f>
        <v>1</v>
      </c>
    </row>
    <row r="108" customFormat="false" ht="15" hidden="false" customHeight="false" outlineLevel="0" collapsed="false">
      <c r="A108" s="5" t="s">
        <v>81</v>
      </c>
      <c r="B108" s="5" t="s">
        <v>68</v>
      </c>
      <c r="C108" s="5" t="s">
        <v>25</v>
      </c>
      <c r="D108" s="5" t="n">
        <v>2</v>
      </c>
      <c r="E108" s="5" t="n">
        <v>0</v>
      </c>
      <c r="F108" s="7" t="n">
        <f aca="false">IF(COUNTIFS(SCORES!$A$2:$A$2000,A108,SCORES!$B$2:$B$2000,B108,SCORES!$C$2:$C$2000,C108,SCORES!$D$2:$D$2000,"&gt;=0")&gt;0,SUMIFS(SCORES!$D$2:$D$2000,SCORES!$A$2:$A$2000,A108,SCORES!$B$2:$B$2000,B108,SCORES!$C$2:$C$2000,C108),"")</f>
        <v>3</v>
      </c>
      <c r="G108" s="7" t="n">
        <f aca="false">IF(AND(ISNUMBER(F108),ISNUMBER(D108)),1,0)</f>
        <v>1</v>
      </c>
      <c r="H108" s="7" t="str">
        <f aca="false">IFERROR(INDEX(CHECKS!$F$2:$F$2000,MATCH(C108,CHECKS!$A$2:$A$2000,0))&amp;"","")</f>
        <v>W02</v>
      </c>
      <c r="I108" s="7" t="n">
        <f aca="false">IF(H108="","",IF(COUNTIFS(SCORES!$A$2:$A$2000,A108,SCORES!$B$2:$B$2000,B108,SCORES!$C$2:$C$2000,H108,SCORES!$D$2:$D$2000,"&gt;=0")&gt;0,SUMIFS(SCORES!$D$2:$D$2000,SCORES!$A$2:$A$2000,A108,SCORES!$B$2:$B$2000,B108,SCORES!$C$2:$C$2000,H108),""))</f>
        <v>1</v>
      </c>
      <c r="J108" s="7" t="n">
        <f aca="false">IF(AND(ISNUMBER(I108),ISNUMBER(E108)),1,0)</f>
        <v>1</v>
      </c>
    </row>
    <row r="109" customFormat="false" ht="15" hidden="false" customHeight="false" outlineLevel="0" collapsed="false">
      <c r="A109" s="8" t="s">
        <v>82</v>
      </c>
      <c r="B109" s="8" t="s">
        <v>68</v>
      </c>
      <c r="C109" s="8" t="s">
        <v>25</v>
      </c>
      <c r="D109" s="8" t="n">
        <v>3</v>
      </c>
      <c r="E109" s="8" t="n">
        <v>0</v>
      </c>
      <c r="F109" s="10" t="n">
        <f aca="false">IF(COUNTIFS(SCORES!$A$2:$A$2000,A109,SCORES!$B$2:$B$2000,B109,SCORES!$C$2:$C$2000,C109,SCORES!$D$2:$D$2000,"&gt;=0")&gt;0,SUMIFS(SCORES!$D$2:$D$2000,SCORES!$A$2:$A$2000,A109,SCORES!$B$2:$B$2000,B109,SCORES!$C$2:$C$2000,C109),"")</f>
        <v>5</v>
      </c>
      <c r="G109" s="10" t="n">
        <f aca="false">IF(AND(ISNUMBER(F109),ISNUMBER(D109)),1,0)</f>
        <v>1</v>
      </c>
      <c r="H109" s="10" t="str">
        <f aca="false">IFERROR(INDEX(CHECKS!$F$2:$F$2000,MATCH(C109,CHECKS!$A$2:$A$2000,0))&amp;"","")</f>
        <v>W02</v>
      </c>
      <c r="I109" s="10" t="n">
        <f aca="false">IF(H109="","",IF(COUNTIFS(SCORES!$A$2:$A$2000,A109,SCORES!$B$2:$B$2000,B109,SCORES!$C$2:$C$2000,H109,SCORES!$D$2:$D$2000,"&gt;=0")&gt;0,SUMIFS(SCORES!$D$2:$D$2000,SCORES!$A$2:$A$2000,A109,SCORES!$B$2:$B$2000,B109,SCORES!$C$2:$C$2000,H109),""))</f>
        <v>3</v>
      </c>
      <c r="J109" s="10" t="n">
        <f aca="false">IF(AND(ISNUMBER(I109),ISNUMBER(E109)),1,0)</f>
        <v>1</v>
      </c>
    </row>
    <row r="110" customFormat="false" ht="15" hidden="false" customHeight="false" outlineLevel="0" collapsed="false">
      <c r="A110" s="5" t="s">
        <v>83</v>
      </c>
      <c r="B110" s="5" t="s">
        <v>68</v>
      </c>
      <c r="C110" s="5" t="s">
        <v>25</v>
      </c>
      <c r="D110" s="5" t="n">
        <v>2</v>
      </c>
      <c r="E110" s="5" t="n">
        <v>2</v>
      </c>
      <c r="F110" s="7" t="str">
        <f aca="false">IF(COUNTIFS(SCORES!$A$2:$A$2000,A110,SCORES!$B$2:$B$2000,B110,SCORES!$C$2:$C$2000,C110,SCORES!$D$2:$D$2000,"&gt;=0")&gt;0,SUMIFS(SCORES!$D$2:$D$2000,SCORES!$A$2:$A$2000,A110,SCORES!$B$2:$B$2000,B110,SCORES!$C$2:$C$2000,C110),"")</f>
        <v/>
      </c>
      <c r="G110" s="7" t="n">
        <f aca="false">IF(AND(ISNUMBER(F110),ISNUMBER(D110)),1,0)</f>
        <v>0</v>
      </c>
      <c r="H110" s="7" t="str">
        <f aca="false">IFERROR(INDEX(CHECKS!$F$2:$F$2000,MATCH(C110,CHECKS!$A$2:$A$2000,0))&amp;"","")</f>
        <v>W02</v>
      </c>
      <c r="I110" s="7" t="n">
        <f aca="false">IF(H110="","",IF(COUNTIFS(SCORES!$A$2:$A$2000,A110,SCORES!$B$2:$B$2000,B110,SCORES!$C$2:$C$2000,H110,SCORES!$D$2:$D$2000,"&gt;=0")&gt;0,SUMIFS(SCORES!$D$2:$D$2000,SCORES!$A$2:$A$2000,A110,SCORES!$B$2:$B$2000,B110,SCORES!$C$2:$C$2000,H110),""))</f>
        <v>5</v>
      </c>
      <c r="J110" s="7" t="n">
        <f aca="false">IF(AND(ISNUMBER(I110),ISNUMBER(E110)),1,0)</f>
        <v>1</v>
      </c>
    </row>
    <row r="111" customFormat="false" ht="15" hidden="false" customHeight="false" outlineLevel="0" collapsed="false">
      <c r="A111" s="8" t="s">
        <v>84</v>
      </c>
      <c r="B111" s="8" t="s">
        <v>68</v>
      </c>
      <c r="C111" s="8" t="s">
        <v>25</v>
      </c>
      <c r="D111" s="8" t="n">
        <v>3</v>
      </c>
      <c r="E111" s="8" t="n">
        <v>1</v>
      </c>
      <c r="F111" s="10" t="n">
        <f aca="false">IF(COUNTIFS(SCORES!$A$2:$A$2000,A111,SCORES!$B$2:$B$2000,B111,SCORES!$C$2:$C$2000,C111,SCORES!$D$2:$D$2000,"&gt;=0")&gt;0,SUMIFS(SCORES!$D$2:$D$2000,SCORES!$A$2:$A$2000,A111,SCORES!$B$2:$B$2000,B111,SCORES!$C$2:$C$2000,C111),"")</f>
        <v>3</v>
      </c>
      <c r="G111" s="10" t="n">
        <f aca="false">IF(AND(ISNUMBER(F111),ISNUMBER(D111)),1,0)</f>
        <v>1</v>
      </c>
      <c r="H111" s="10" t="str">
        <f aca="false">IFERROR(INDEX(CHECKS!$F$2:$F$2000,MATCH(C111,CHECKS!$A$2:$A$2000,0))&amp;"","")</f>
        <v>W02</v>
      </c>
      <c r="I111" s="10" t="n">
        <f aca="false">IF(H111="","",IF(COUNTIFS(SCORES!$A$2:$A$2000,A111,SCORES!$B$2:$B$2000,B111,SCORES!$C$2:$C$2000,H111,SCORES!$D$2:$D$2000,"&gt;=0")&gt;0,SUMIFS(SCORES!$D$2:$D$2000,SCORES!$A$2:$A$2000,A111,SCORES!$B$2:$B$2000,B111,SCORES!$C$2:$C$2000,H111),""))</f>
        <v>3</v>
      </c>
      <c r="J111" s="10" t="n">
        <f aca="false">IF(AND(ISNUMBER(I111),ISNUMBER(E111)),1,0)</f>
        <v>1</v>
      </c>
    </row>
    <row r="112" customFormat="false" ht="15" hidden="false" customHeight="false" outlineLevel="0" collapsed="false">
      <c r="A112" s="5" t="s">
        <v>85</v>
      </c>
      <c r="B112" s="5" t="s">
        <v>68</v>
      </c>
      <c r="C112" s="5" t="s">
        <v>25</v>
      </c>
      <c r="D112" s="5" t="n">
        <v>2</v>
      </c>
      <c r="E112" s="5" t="n">
        <v>1</v>
      </c>
      <c r="F112" s="7" t="n">
        <f aca="false">IF(COUNTIFS(SCORES!$A$2:$A$2000,A112,SCORES!$B$2:$B$2000,B112,SCORES!$C$2:$C$2000,C112,SCORES!$D$2:$D$2000,"&gt;=0")&gt;0,SUMIFS(SCORES!$D$2:$D$2000,SCORES!$A$2:$A$2000,A112,SCORES!$B$2:$B$2000,B112,SCORES!$C$2:$C$2000,C112),"")</f>
        <v>3</v>
      </c>
      <c r="G112" s="7" t="n">
        <f aca="false">IF(AND(ISNUMBER(F112),ISNUMBER(D112)),1,0)</f>
        <v>1</v>
      </c>
      <c r="H112" s="7" t="str">
        <f aca="false">IFERROR(INDEX(CHECKS!$F$2:$F$2000,MATCH(C112,CHECKS!$A$2:$A$2000,0))&amp;"","")</f>
        <v>W02</v>
      </c>
      <c r="I112" s="7" t="n">
        <f aca="false">IF(H112="","",IF(COUNTIFS(SCORES!$A$2:$A$2000,A112,SCORES!$B$2:$B$2000,B112,SCORES!$C$2:$C$2000,H112,SCORES!$D$2:$D$2000,"&gt;=0")&gt;0,SUMIFS(SCORES!$D$2:$D$2000,SCORES!$A$2:$A$2000,A112,SCORES!$B$2:$B$2000,B112,SCORES!$C$2:$C$2000,H112),""))</f>
        <v>1</v>
      </c>
      <c r="J112" s="7" t="n">
        <f aca="false">IF(AND(ISNUMBER(I112),ISNUMBER(E112)),1,0)</f>
        <v>1</v>
      </c>
    </row>
    <row r="113" customFormat="false" ht="15" hidden="false" customHeight="false" outlineLevel="0" collapsed="false">
      <c r="A113" s="8" t="s">
        <v>87</v>
      </c>
      <c r="B113" s="8" t="s">
        <v>68</v>
      </c>
      <c r="C113" s="8" t="s">
        <v>25</v>
      </c>
      <c r="D113" s="8" t="n">
        <v>3</v>
      </c>
      <c r="E113" s="8" t="n">
        <v>1</v>
      </c>
      <c r="F113" s="10" t="n">
        <f aca="false">IF(COUNTIFS(SCORES!$A$2:$A$2000,A113,SCORES!$B$2:$B$2000,B113,SCORES!$C$2:$C$2000,C113,SCORES!$D$2:$D$2000,"&gt;=0")&gt;0,SUMIFS(SCORES!$D$2:$D$2000,SCORES!$A$2:$A$2000,A113,SCORES!$B$2:$B$2000,B113,SCORES!$C$2:$C$2000,C113),"")</f>
        <v>4</v>
      </c>
      <c r="G113" s="10" t="n">
        <f aca="false">IF(AND(ISNUMBER(F113),ISNUMBER(D113)),1,0)</f>
        <v>1</v>
      </c>
      <c r="H113" s="10" t="str">
        <f aca="false">IFERROR(INDEX(CHECKS!$F$2:$F$2000,MATCH(C113,CHECKS!$A$2:$A$2000,0))&amp;"","")</f>
        <v>W02</v>
      </c>
      <c r="I113" s="10" t="n">
        <f aca="false">IF(H113="","",IF(COUNTIFS(SCORES!$A$2:$A$2000,A113,SCORES!$B$2:$B$2000,B113,SCORES!$C$2:$C$2000,H113,SCORES!$D$2:$D$2000,"&gt;=0")&gt;0,SUMIFS(SCORES!$D$2:$D$2000,SCORES!$A$2:$A$2000,A113,SCORES!$B$2:$B$2000,B113,SCORES!$C$2:$C$2000,H113),""))</f>
        <v>4</v>
      </c>
      <c r="J113" s="10" t="n">
        <f aca="false">IF(AND(ISNUMBER(I113),ISNUMBER(E113)),1,0)</f>
        <v>1</v>
      </c>
    </row>
    <row r="114" customFormat="false" ht="15" hidden="false" customHeight="false" outlineLevel="0" collapsed="false">
      <c r="A114" s="5" t="s">
        <v>88</v>
      </c>
      <c r="B114" s="5" t="s">
        <v>68</v>
      </c>
      <c r="C114" s="5" t="s">
        <v>25</v>
      </c>
      <c r="D114" s="5" t="n">
        <v>3</v>
      </c>
      <c r="E114" s="5" t="n">
        <v>1</v>
      </c>
      <c r="F114" s="7" t="n">
        <f aca="false">IF(COUNTIFS(SCORES!$A$2:$A$2000,A114,SCORES!$B$2:$B$2000,B114,SCORES!$C$2:$C$2000,C114,SCORES!$D$2:$D$2000,"&gt;=0")&gt;0,SUMIFS(SCORES!$D$2:$D$2000,SCORES!$A$2:$A$2000,A114,SCORES!$B$2:$B$2000,B114,SCORES!$C$2:$C$2000,C114),"")</f>
        <v>3</v>
      </c>
      <c r="G114" s="7" t="n">
        <f aca="false">IF(AND(ISNUMBER(F114),ISNUMBER(D114)),1,0)</f>
        <v>1</v>
      </c>
      <c r="H114" s="7" t="str">
        <f aca="false">IFERROR(INDEX(CHECKS!$F$2:$F$2000,MATCH(C114,CHECKS!$A$2:$A$2000,0))&amp;"","")</f>
        <v>W02</v>
      </c>
      <c r="I114" s="7" t="n">
        <f aca="false">IF(H114="","",IF(COUNTIFS(SCORES!$A$2:$A$2000,A114,SCORES!$B$2:$B$2000,B114,SCORES!$C$2:$C$2000,H114,SCORES!$D$2:$D$2000,"&gt;=0")&gt;0,SUMIFS(SCORES!$D$2:$D$2000,SCORES!$A$2:$A$2000,A114,SCORES!$B$2:$B$2000,B114,SCORES!$C$2:$C$2000,H114),""))</f>
        <v>3</v>
      </c>
      <c r="J114" s="7" t="n">
        <f aca="false">IF(AND(ISNUMBER(I114),ISNUMBER(E114)),1,0)</f>
        <v>1</v>
      </c>
    </row>
    <row r="115" customFormat="false" ht="15" hidden="false" customHeight="false" outlineLevel="0" collapsed="false">
      <c r="A115" s="8" t="s">
        <v>90</v>
      </c>
      <c r="B115" s="8" t="s">
        <v>68</v>
      </c>
      <c r="C115" s="8" t="s">
        <v>25</v>
      </c>
      <c r="D115" s="8" t="n">
        <v>2</v>
      </c>
      <c r="E115" s="8" t="n">
        <v>1</v>
      </c>
      <c r="F115" s="10" t="n">
        <f aca="false">IF(COUNTIFS(SCORES!$A$2:$A$2000,A115,SCORES!$B$2:$B$2000,B115,SCORES!$C$2:$C$2000,C115,SCORES!$D$2:$D$2000,"&gt;=0")&gt;0,SUMIFS(SCORES!$D$2:$D$2000,SCORES!$A$2:$A$2000,A115,SCORES!$B$2:$B$2000,B115,SCORES!$C$2:$C$2000,C115),"")</f>
        <v>4</v>
      </c>
      <c r="G115" s="10" t="n">
        <f aca="false">IF(AND(ISNUMBER(F115),ISNUMBER(D115)),1,0)</f>
        <v>1</v>
      </c>
      <c r="H115" s="10" t="str">
        <f aca="false">IFERROR(INDEX(CHECKS!$F$2:$F$2000,MATCH(C115,CHECKS!$A$2:$A$2000,0))&amp;"","")</f>
        <v>W02</v>
      </c>
      <c r="I115" s="10" t="n">
        <f aca="false">IF(H115="","",IF(COUNTIFS(SCORES!$A$2:$A$2000,A115,SCORES!$B$2:$B$2000,B115,SCORES!$C$2:$C$2000,H115,SCORES!$D$2:$D$2000,"&gt;=0")&gt;0,SUMIFS(SCORES!$D$2:$D$2000,SCORES!$A$2:$A$2000,A115,SCORES!$B$2:$B$2000,B115,SCORES!$C$2:$C$2000,H115),""))</f>
        <v>1</v>
      </c>
      <c r="J115" s="10" t="n">
        <f aca="false">IF(AND(ISNUMBER(I115),ISNUMBER(E115)),1,0)</f>
        <v>1</v>
      </c>
    </row>
    <row r="116" customFormat="false" ht="15" hidden="false" customHeight="false" outlineLevel="0" collapsed="false">
      <c r="A116" s="5" t="s">
        <v>91</v>
      </c>
      <c r="B116" s="5" t="s">
        <v>68</v>
      </c>
      <c r="C116" s="5" t="s">
        <v>25</v>
      </c>
      <c r="D116" s="5" t="n">
        <v>3</v>
      </c>
      <c r="E116" s="5" t="n">
        <v>1</v>
      </c>
      <c r="F116" s="7" t="n">
        <f aca="false">IF(COUNTIFS(SCORES!$A$2:$A$2000,A116,SCORES!$B$2:$B$2000,B116,SCORES!$C$2:$C$2000,C116,SCORES!$D$2:$D$2000,"&gt;=0")&gt;0,SUMIFS(SCORES!$D$2:$D$2000,SCORES!$A$2:$A$2000,A116,SCORES!$B$2:$B$2000,B116,SCORES!$C$2:$C$2000,C116),"")</f>
        <v>4</v>
      </c>
      <c r="G116" s="7" t="n">
        <f aca="false">IF(AND(ISNUMBER(F116),ISNUMBER(D116)),1,0)</f>
        <v>1</v>
      </c>
      <c r="H116" s="7" t="str">
        <f aca="false">IFERROR(INDEX(CHECKS!$F$2:$F$2000,MATCH(C116,CHECKS!$A$2:$A$2000,0))&amp;"","")</f>
        <v>W02</v>
      </c>
      <c r="I116" s="7" t="n">
        <f aca="false">IF(H116="","",IF(COUNTIFS(SCORES!$A$2:$A$2000,A116,SCORES!$B$2:$B$2000,B116,SCORES!$C$2:$C$2000,H116,SCORES!$D$2:$D$2000,"&gt;=0")&gt;0,SUMIFS(SCORES!$D$2:$D$2000,SCORES!$A$2:$A$2000,A116,SCORES!$B$2:$B$2000,B116,SCORES!$C$2:$C$2000,H116),""))</f>
        <v>3</v>
      </c>
      <c r="J116" s="7" t="n">
        <f aca="false">IF(AND(ISNUMBER(I116),ISNUMBER(E116)),1,0)</f>
        <v>1</v>
      </c>
    </row>
    <row r="117" customFormat="false" ht="15" hidden="false" customHeight="false" outlineLevel="0" collapsed="false">
      <c r="A117" s="8" t="s">
        <v>93</v>
      </c>
      <c r="B117" s="8" t="s">
        <v>68</v>
      </c>
      <c r="C117" s="8" t="s">
        <v>25</v>
      </c>
      <c r="D117" s="8" t="n">
        <v>3</v>
      </c>
      <c r="E117" s="8" t="n">
        <v>1</v>
      </c>
      <c r="F117" s="10" t="n">
        <f aca="false">IF(COUNTIFS(SCORES!$A$2:$A$2000,A117,SCORES!$B$2:$B$2000,B117,SCORES!$C$2:$C$2000,C117,SCORES!$D$2:$D$2000,"&gt;=0")&gt;0,SUMIFS(SCORES!$D$2:$D$2000,SCORES!$A$2:$A$2000,A117,SCORES!$B$2:$B$2000,B117,SCORES!$C$2:$C$2000,C117),"")</f>
        <v>3</v>
      </c>
      <c r="G117" s="10" t="n">
        <f aca="false">IF(AND(ISNUMBER(F117),ISNUMBER(D117)),1,0)</f>
        <v>1</v>
      </c>
      <c r="H117" s="10" t="str">
        <f aca="false">IFERROR(INDEX(CHECKS!$F$2:$F$2000,MATCH(C117,CHECKS!$A$2:$A$2000,0))&amp;"","")</f>
        <v>W02</v>
      </c>
      <c r="I117" s="10" t="n">
        <f aca="false">IF(H117="","",IF(COUNTIFS(SCORES!$A$2:$A$2000,A117,SCORES!$B$2:$B$2000,B117,SCORES!$C$2:$C$2000,H117,SCORES!$D$2:$D$2000,"&gt;=0")&gt;0,SUMIFS(SCORES!$D$2:$D$2000,SCORES!$A$2:$A$2000,A117,SCORES!$B$2:$B$2000,B117,SCORES!$C$2:$C$2000,H117),""))</f>
        <v>1</v>
      </c>
      <c r="J117" s="10" t="n">
        <f aca="false">IF(AND(ISNUMBER(I117),ISNUMBER(E117)),1,0)</f>
        <v>1</v>
      </c>
    </row>
    <row r="118" customFormat="false" ht="15" hidden="false" customHeight="false" outlineLevel="0" collapsed="false">
      <c r="A118" s="5" t="s">
        <v>67</v>
      </c>
      <c r="B118" s="5" t="s">
        <v>94</v>
      </c>
      <c r="C118" s="5" t="s">
        <v>25</v>
      </c>
      <c r="D118" s="5" t="n">
        <v>2</v>
      </c>
      <c r="E118" s="5" t="n">
        <v>2</v>
      </c>
      <c r="F118" s="7" t="n">
        <f aca="false">IF(COUNTIFS(SCORES!$A$2:$A$2000,A118,SCORES!$B$2:$B$2000,B118,SCORES!$C$2:$C$2000,C118,SCORES!$D$2:$D$2000,"&gt;=0")&gt;0,SUMIFS(SCORES!$D$2:$D$2000,SCORES!$A$2:$A$2000,A118,SCORES!$B$2:$B$2000,B118,SCORES!$C$2:$C$2000,C118),"")</f>
        <v>5</v>
      </c>
      <c r="G118" s="7" t="n">
        <f aca="false">IF(AND(ISNUMBER(F118),ISNUMBER(D118)),1,0)</f>
        <v>1</v>
      </c>
      <c r="H118" s="7" t="str">
        <f aca="false">IFERROR(INDEX(CHECKS!$F$2:$F$2000,MATCH(C118,CHECKS!$A$2:$A$2000,0))&amp;"","")</f>
        <v>W02</v>
      </c>
      <c r="I118" s="7" t="n">
        <f aca="false">IF(H118="","",IF(COUNTIFS(SCORES!$A$2:$A$2000,A118,SCORES!$B$2:$B$2000,B118,SCORES!$C$2:$C$2000,H118,SCORES!$D$2:$D$2000,"&gt;=0")&gt;0,SUMIFS(SCORES!$D$2:$D$2000,SCORES!$A$2:$A$2000,A118,SCORES!$B$2:$B$2000,B118,SCORES!$C$2:$C$2000,H118),""))</f>
        <v>1</v>
      </c>
      <c r="J118" s="7" t="n">
        <f aca="false">IF(AND(ISNUMBER(I118),ISNUMBER(E118)),1,0)</f>
        <v>1</v>
      </c>
    </row>
    <row r="119" customFormat="false" ht="15" hidden="false" customHeight="false" outlineLevel="0" collapsed="false">
      <c r="A119" s="8" t="s">
        <v>69</v>
      </c>
      <c r="B119" s="8" t="s">
        <v>94</v>
      </c>
      <c r="C119" s="8" t="s">
        <v>25</v>
      </c>
      <c r="D119" s="8" t="n">
        <v>2</v>
      </c>
      <c r="E119" s="8" t="n">
        <v>1</v>
      </c>
      <c r="F119" s="10" t="n">
        <f aca="false">IF(COUNTIFS(SCORES!$A$2:$A$2000,A119,SCORES!$B$2:$B$2000,B119,SCORES!$C$2:$C$2000,C119,SCORES!$D$2:$D$2000,"&gt;=0")&gt;0,SUMIFS(SCORES!$D$2:$D$2000,SCORES!$A$2:$A$2000,A119,SCORES!$B$2:$B$2000,B119,SCORES!$C$2:$C$2000,C119),"")</f>
        <v>3</v>
      </c>
      <c r="G119" s="10" t="n">
        <f aca="false">IF(AND(ISNUMBER(F119),ISNUMBER(D119)),1,0)</f>
        <v>1</v>
      </c>
      <c r="H119" s="10" t="str">
        <f aca="false">IFERROR(INDEX(CHECKS!$F$2:$F$2000,MATCH(C119,CHECKS!$A$2:$A$2000,0))&amp;"","")</f>
        <v>W02</v>
      </c>
      <c r="I119" s="10" t="n">
        <f aca="false">IF(H119="","",IF(COUNTIFS(SCORES!$A$2:$A$2000,A119,SCORES!$B$2:$B$2000,B119,SCORES!$C$2:$C$2000,H119,SCORES!$D$2:$D$2000,"&gt;=0")&gt;0,SUMIFS(SCORES!$D$2:$D$2000,SCORES!$A$2:$A$2000,A119,SCORES!$B$2:$B$2000,B119,SCORES!$C$2:$C$2000,H119),""))</f>
        <v>3</v>
      </c>
      <c r="J119" s="10" t="n">
        <f aca="false">IF(AND(ISNUMBER(I119),ISNUMBER(E119)),1,0)</f>
        <v>1</v>
      </c>
    </row>
    <row r="120" customFormat="false" ht="15" hidden="false" customHeight="false" outlineLevel="0" collapsed="false">
      <c r="A120" s="5" t="s">
        <v>71</v>
      </c>
      <c r="B120" s="5" t="s">
        <v>94</v>
      </c>
      <c r="C120" s="5" t="s">
        <v>25</v>
      </c>
      <c r="D120" s="5" t="n">
        <v>3</v>
      </c>
      <c r="E120" s="5" t="n">
        <v>0</v>
      </c>
      <c r="F120" s="7" t="n">
        <f aca="false">IF(COUNTIFS(SCORES!$A$2:$A$2000,A120,SCORES!$B$2:$B$2000,B120,SCORES!$C$2:$C$2000,C120,SCORES!$D$2:$D$2000,"&gt;=0")&gt;0,SUMIFS(SCORES!$D$2:$D$2000,SCORES!$A$2:$A$2000,A120,SCORES!$B$2:$B$2000,B120,SCORES!$C$2:$C$2000,C120),"")</f>
        <v>5</v>
      </c>
      <c r="G120" s="7" t="n">
        <f aca="false">IF(AND(ISNUMBER(F120),ISNUMBER(D120)),1,0)</f>
        <v>1</v>
      </c>
      <c r="H120" s="7" t="str">
        <f aca="false">IFERROR(INDEX(CHECKS!$F$2:$F$2000,MATCH(C120,CHECKS!$A$2:$A$2000,0))&amp;"","")</f>
        <v>W02</v>
      </c>
      <c r="I120" s="7" t="n">
        <f aca="false">IF(H120="","",IF(COUNTIFS(SCORES!$A$2:$A$2000,A120,SCORES!$B$2:$B$2000,B120,SCORES!$C$2:$C$2000,H120,SCORES!$D$2:$D$2000,"&gt;=0")&gt;0,SUMIFS(SCORES!$D$2:$D$2000,SCORES!$A$2:$A$2000,A120,SCORES!$B$2:$B$2000,B120,SCORES!$C$2:$C$2000,H120),""))</f>
        <v>4</v>
      </c>
      <c r="J120" s="7" t="n">
        <f aca="false">IF(AND(ISNUMBER(I120),ISNUMBER(E120)),1,0)</f>
        <v>1</v>
      </c>
    </row>
    <row r="121" customFormat="false" ht="15" hidden="false" customHeight="false" outlineLevel="0" collapsed="false">
      <c r="A121" s="8" t="s">
        <v>72</v>
      </c>
      <c r="B121" s="8" t="s">
        <v>94</v>
      </c>
      <c r="C121" s="8" t="s">
        <v>25</v>
      </c>
      <c r="D121" s="8" t="n">
        <v>3</v>
      </c>
      <c r="E121" s="8" t="n">
        <v>2</v>
      </c>
      <c r="F121" s="10" t="n">
        <f aca="false">IF(COUNTIFS(SCORES!$A$2:$A$2000,A121,SCORES!$B$2:$B$2000,B121,SCORES!$C$2:$C$2000,C121,SCORES!$D$2:$D$2000,"&gt;=0")&gt;0,SUMIFS(SCORES!$D$2:$D$2000,SCORES!$A$2:$A$2000,A121,SCORES!$B$2:$B$2000,B121,SCORES!$C$2:$C$2000,C121),"")</f>
        <v>3</v>
      </c>
      <c r="G121" s="10" t="n">
        <f aca="false">IF(AND(ISNUMBER(F121),ISNUMBER(D121)),1,0)</f>
        <v>1</v>
      </c>
      <c r="H121" s="10" t="str">
        <f aca="false">IFERROR(INDEX(CHECKS!$F$2:$F$2000,MATCH(C121,CHECKS!$A$2:$A$2000,0))&amp;"","")</f>
        <v>W02</v>
      </c>
      <c r="I121" s="10" t="n">
        <f aca="false">IF(H121="","",IF(COUNTIFS(SCORES!$A$2:$A$2000,A121,SCORES!$B$2:$B$2000,B121,SCORES!$C$2:$C$2000,H121,SCORES!$D$2:$D$2000,"&gt;=0")&gt;0,SUMIFS(SCORES!$D$2:$D$2000,SCORES!$A$2:$A$2000,A121,SCORES!$B$2:$B$2000,B121,SCORES!$C$2:$C$2000,H121),""))</f>
        <v>3</v>
      </c>
      <c r="J121" s="10" t="n">
        <f aca="false">IF(AND(ISNUMBER(I121),ISNUMBER(E121)),1,0)</f>
        <v>1</v>
      </c>
    </row>
    <row r="122" customFormat="false" ht="15" hidden="false" customHeight="false" outlineLevel="0" collapsed="false">
      <c r="A122" s="5" t="s">
        <v>73</v>
      </c>
      <c r="B122" s="5" t="s">
        <v>94</v>
      </c>
      <c r="C122" s="5" t="s">
        <v>25</v>
      </c>
      <c r="D122" s="5" t="n">
        <v>3</v>
      </c>
      <c r="E122" s="5" t="n">
        <v>2</v>
      </c>
      <c r="F122" s="7" t="n">
        <f aca="false">IF(COUNTIFS(SCORES!$A$2:$A$2000,A122,SCORES!$B$2:$B$2000,B122,SCORES!$C$2:$C$2000,C122,SCORES!$D$2:$D$2000,"&gt;=0")&gt;0,SUMIFS(SCORES!$D$2:$D$2000,SCORES!$A$2:$A$2000,A122,SCORES!$B$2:$B$2000,B122,SCORES!$C$2:$C$2000,C122),"")</f>
        <v>5</v>
      </c>
      <c r="G122" s="7" t="n">
        <f aca="false">IF(AND(ISNUMBER(F122),ISNUMBER(D122)),1,0)</f>
        <v>1</v>
      </c>
      <c r="H122" s="7" t="str">
        <f aca="false">IFERROR(INDEX(CHECKS!$F$2:$F$2000,MATCH(C122,CHECKS!$A$2:$A$2000,0))&amp;"","")</f>
        <v>W02</v>
      </c>
      <c r="I122" s="7" t="n">
        <f aca="false">IF(H122="","",IF(COUNTIFS(SCORES!$A$2:$A$2000,A122,SCORES!$B$2:$B$2000,B122,SCORES!$C$2:$C$2000,H122,SCORES!$D$2:$D$2000,"&gt;=0")&gt;0,SUMIFS(SCORES!$D$2:$D$2000,SCORES!$A$2:$A$2000,A122,SCORES!$B$2:$B$2000,B122,SCORES!$C$2:$C$2000,H122),""))</f>
        <v>4</v>
      </c>
      <c r="J122" s="7" t="n">
        <f aca="false">IF(AND(ISNUMBER(I122),ISNUMBER(E122)),1,0)</f>
        <v>1</v>
      </c>
    </row>
    <row r="123" customFormat="false" ht="15" hidden="false" customHeight="false" outlineLevel="0" collapsed="false">
      <c r="A123" s="8" t="s">
        <v>74</v>
      </c>
      <c r="B123" s="8" t="s">
        <v>94</v>
      </c>
      <c r="C123" s="8" t="s">
        <v>25</v>
      </c>
      <c r="D123" s="8" t="n">
        <v>2</v>
      </c>
      <c r="E123" s="8" t="n">
        <v>0</v>
      </c>
      <c r="F123" s="10" t="n">
        <f aca="false">IF(COUNTIFS(SCORES!$A$2:$A$2000,A123,SCORES!$B$2:$B$2000,B123,SCORES!$C$2:$C$2000,C123,SCORES!$D$2:$D$2000,"&gt;=0")&gt;0,SUMIFS(SCORES!$D$2:$D$2000,SCORES!$A$2:$A$2000,A123,SCORES!$B$2:$B$2000,B123,SCORES!$C$2:$C$2000,C123),"")</f>
        <v>3</v>
      </c>
      <c r="G123" s="10" t="n">
        <f aca="false">IF(AND(ISNUMBER(F123),ISNUMBER(D123)),1,0)</f>
        <v>1</v>
      </c>
      <c r="H123" s="10" t="str">
        <f aca="false">IFERROR(INDEX(CHECKS!$F$2:$F$2000,MATCH(C123,CHECKS!$A$2:$A$2000,0))&amp;"","")</f>
        <v>W02</v>
      </c>
      <c r="I123" s="10" t="n">
        <f aca="false">IF(H123="","",IF(COUNTIFS(SCORES!$A$2:$A$2000,A123,SCORES!$B$2:$B$2000,B123,SCORES!$C$2:$C$2000,H123,SCORES!$D$2:$D$2000,"&gt;=0")&gt;0,SUMIFS(SCORES!$D$2:$D$2000,SCORES!$A$2:$A$2000,A123,SCORES!$B$2:$B$2000,B123,SCORES!$C$2:$C$2000,H123),""))</f>
        <v>1</v>
      </c>
      <c r="J123" s="10" t="n">
        <f aca="false">IF(AND(ISNUMBER(I123),ISNUMBER(E123)),1,0)</f>
        <v>1</v>
      </c>
    </row>
    <row r="124" customFormat="false" ht="15" hidden="false" customHeight="false" outlineLevel="0" collapsed="false">
      <c r="A124" s="5" t="s">
        <v>75</v>
      </c>
      <c r="B124" s="5" t="s">
        <v>94</v>
      </c>
      <c r="C124" s="5" t="s">
        <v>25</v>
      </c>
      <c r="D124" s="5" t="n">
        <v>1</v>
      </c>
      <c r="E124" s="5" t="n">
        <v>2</v>
      </c>
      <c r="F124" s="7" t="n">
        <f aca="false">IF(COUNTIFS(SCORES!$A$2:$A$2000,A124,SCORES!$B$2:$B$2000,B124,SCORES!$C$2:$C$2000,C124,SCORES!$D$2:$D$2000,"&gt;=0")&gt;0,SUMIFS(SCORES!$D$2:$D$2000,SCORES!$A$2:$A$2000,A124,SCORES!$B$2:$B$2000,B124,SCORES!$C$2:$C$2000,C124),"")</f>
        <v>3</v>
      </c>
      <c r="G124" s="7" t="n">
        <f aca="false">IF(AND(ISNUMBER(F124),ISNUMBER(D124)),1,0)</f>
        <v>1</v>
      </c>
      <c r="H124" s="7" t="str">
        <f aca="false">IFERROR(INDEX(CHECKS!$F$2:$F$2000,MATCH(C124,CHECKS!$A$2:$A$2000,0))&amp;"","")</f>
        <v>W02</v>
      </c>
      <c r="I124" s="7" t="n">
        <f aca="false">IF(H124="","",IF(COUNTIFS(SCORES!$A$2:$A$2000,A124,SCORES!$B$2:$B$2000,B124,SCORES!$C$2:$C$2000,H124,SCORES!$D$2:$D$2000,"&gt;=0")&gt;0,SUMIFS(SCORES!$D$2:$D$2000,SCORES!$A$2:$A$2000,A124,SCORES!$B$2:$B$2000,B124,SCORES!$C$2:$C$2000,H124),""))</f>
        <v>0</v>
      </c>
      <c r="J124" s="7" t="n">
        <f aca="false">IF(AND(ISNUMBER(I124),ISNUMBER(E124)),1,0)</f>
        <v>1</v>
      </c>
    </row>
    <row r="125" customFormat="false" ht="15" hidden="false" customHeight="false" outlineLevel="0" collapsed="false">
      <c r="A125" s="8" t="s">
        <v>76</v>
      </c>
      <c r="B125" s="8" t="s">
        <v>94</v>
      </c>
      <c r="C125" s="8" t="s">
        <v>25</v>
      </c>
      <c r="D125" s="8" t="n">
        <v>2</v>
      </c>
      <c r="E125" s="8" t="n">
        <v>1</v>
      </c>
      <c r="F125" s="10" t="str">
        <f aca="false">IF(COUNTIFS(SCORES!$A$2:$A$2000,A125,SCORES!$B$2:$B$2000,B125,SCORES!$C$2:$C$2000,C125,SCORES!$D$2:$D$2000,"&gt;=0")&gt;0,SUMIFS(SCORES!$D$2:$D$2000,SCORES!$A$2:$A$2000,A125,SCORES!$B$2:$B$2000,B125,SCORES!$C$2:$C$2000,C125),"")</f>
        <v/>
      </c>
      <c r="G125" s="10" t="n">
        <f aca="false">IF(AND(ISNUMBER(F125),ISNUMBER(D125)),1,0)</f>
        <v>0</v>
      </c>
      <c r="H125" s="10" t="str">
        <f aca="false">IFERROR(INDEX(CHECKS!$F$2:$F$2000,MATCH(C125,CHECKS!$A$2:$A$2000,0))&amp;"","")</f>
        <v>W02</v>
      </c>
      <c r="I125" s="10" t="n">
        <f aca="false">IF(H125="","",IF(COUNTIFS(SCORES!$A$2:$A$2000,A125,SCORES!$B$2:$B$2000,B125,SCORES!$C$2:$C$2000,H125,SCORES!$D$2:$D$2000,"&gt;=0")&gt;0,SUMIFS(SCORES!$D$2:$D$2000,SCORES!$A$2:$A$2000,A125,SCORES!$B$2:$B$2000,B125,SCORES!$C$2:$C$2000,H125),""))</f>
        <v>3</v>
      </c>
      <c r="J125" s="10" t="n">
        <f aca="false">IF(AND(ISNUMBER(I125),ISNUMBER(E125)),1,0)</f>
        <v>1</v>
      </c>
    </row>
    <row r="126" customFormat="false" ht="15" hidden="false" customHeight="false" outlineLevel="0" collapsed="false">
      <c r="A126" s="5" t="s">
        <v>77</v>
      </c>
      <c r="B126" s="5" t="s">
        <v>94</v>
      </c>
      <c r="C126" s="5" t="s">
        <v>25</v>
      </c>
      <c r="D126" s="5" t="n">
        <v>3</v>
      </c>
      <c r="E126" s="5" t="n">
        <v>0</v>
      </c>
      <c r="F126" s="7" t="n">
        <f aca="false">IF(COUNTIFS(SCORES!$A$2:$A$2000,A126,SCORES!$B$2:$B$2000,B126,SCORES!$C$2:$C$2000,C126,SCORES!$D$2:$D$2000,"&gt;=0")&gt;0,SUMIFS(SCORES!$D$2:$D$2000,SCORES!$A$2:$A$2000,A126,SCORES!$B$2:$B$2000,B126,SCORES!$C$2:$C$2000,C126),"")</f>
        <v>2</v>
      </c>
      <c r="G126" s="7" t="n">
        <f aca="false">IF(AND(ISNUMBER(F126),ISNUMBER(D126)),1,0)</f>
        <v>1</v>
      </c>
      <c r="H126" s="7" t="str">
        <f aca="false">IFERROR(INDEX(CHECKS!$F$2:$F$2000,MATCH(C126,CHECKS!$A$2:$A$2000,0))&amp;"","")</f>
        <v>W02</v>
      </c>
      <c r="I126" s="7" t="str">
        <f aca="false">IF(H126="","",IF(COUNTIFS(SCORES!$A$2:$A$2000,A126,SCORES!$B$2:$B$2000,B126,SCORES!$C$2:$C$2000,H126,SCORES!$D$2:$D$2000,"&gt;=0")&gt;0,SUMIFS(SCORES!$D$2:$D$2000,SCORES!$A$2:$A$2000,A126,SCORES!$B$2:$B$2000,B126,SCORES!$C$2:$C$2000,H126),""))</f>
        <v/>
      </c>
      <c r="J126" s="7" t="n">
        <f aca="false">IF(AND(ISNUMBER(I126),ISNUMBER(E126)),1,0)</f>
        <v>0</v>
      </c>
    </row>
    <row r="127" customFormat="false" ht="15" hidden="false" customHeight="false" outlineLevel="0" collapsed="false">
      <c r="A127" s="8" t="s">
        <v>78</v>
      </c>
      <c r="B127" s="8" t="s">
        <v>94</v>
      </c>
      <c r="C127" s="8" t="s">
        <v>25</v>
      </c>
      <c r="D127" s="8" t="n">
        <v>2</v>
      </c>
      <c r="E127" s="8" t="n">
        <v>0</v>
      </c>
      <c r="F127" s="10" t="n">
        <f aca="false">IF(COUNTIFS(SCORES!$A$2:$A$2000,A127,SCORES!$B$2:$B$2000,B127,SCORES!$C$2:$C$2000,C127,SCORES!$D$2:$D$2000,"&gt;=0")&gt;0,SUMIFS(SCORES!$D$2:$D$2000,SCORES!$A$2:$A$2000,A127,SCORES!$B$2:$B$2000,B127,SCORES!$C$2:$C$2000,C127),"")</f>
        <v>3</v>
      </c>
      <c r="G127" s="10" t="n">
        <f aca="false">IF(AND(ISNUMBER(F127),ISNUMBER(D127)),1,0)</f>
        <v>1</v>
      </c>
      <c r="H127" s="10" t="str">
        <f aca="false">IFERROR(INDEX(CHECKS!$F$2:$F$2000,MATCH(C127,CHECKS!$A$2:$A$2000,0))&amp;"","")</f>
        <v>W02</v>
      </c>
      <c r="I127" s="10" t="n">
        <f aca="false">IF(H127="","",IF(COUNTIFS(SCORES!$A$2:$A$2000,A127,SCORES!$B$2:$B$2000,B127,SCORES!$C$2:$C$2000,H127,SCORES!$D$2:$D$2000,"&gt;=0")&gt;0,SUMIFS(SCORES!$D$2:$D$2000,SCORES!$A$2:$A$2000,A127,SCORES!$B$2:$B$2000,B127,SCORES!$C$2:$C$2000,H127),""))</f>
        <v>2</v>
      </c>
      <c r="J127" s="10" t="n">
        <f aca="false">IF(AND(ISNUMBER(I127),ISNUMBER(E127)),1,0)</f>
        <v>1</v>
      </c>
    </row>
    <row r="128" customFormat="false" ht="15" hidden="false" customHeight="false" outlineLevel="0" collapsed="false">
      <c r="A128" s="5" t="s">
        <v>80</v>
      </c>
      <c r="B128" s="5" t="s">
        <v>94</v>
      </c>
      <c r="C128" s="5" t="s">
        <v>25</v>
      </c>
      <c r="D128" s="5" t="n">
        <v>3</v>
      </c>
      <c r="E128" s="5" t="n">
        <v>1</v>
      </c>
      <c r="F128" s="7" t="n">
        <f aca="false">IF(COUNTIFS(SCORES!$A$2:$A$2000,A128,SCORES!$B$2:$B$2000,B128,SCORES!$C$2:$C$2000,C128,SCORES!$D$2:$D$2000,"&gt;=0")&gt;0,SUMIFS(SCORES!$D$2:$D$2000,SCORES!$A$2:$A$2000,A128,SCORES!$B$2:$B$2000,B128,SCORES!$C$2:$C$2000,C128),"")</f>
        <v>3</v>
      </c>
      <c r="G128" s="7" t="n">
        <f aca="false">IF(AND(ISNUMBER(F128),ISNUMBER(D128)),1,0)</f>
        <v>1</v>
      </c>
      <c r="H128" s="7" t="str">
        <f aca="false">IFERROR(INDEX(CHECKS!$F$2:$F$2000,MATCH(C128,CHECKS!$A$2:$A$2000,0))&amp;"","")</f>
        <v>W02</v>
      </c>
      <c r="I128" s="7" t="n">
        <f aca="false">IF(H128="","",IF(COUNTIFS(SCORES!$A$2:$A$2000,A128,SCORES!$B$2:$B$2000,B128,SCORES!$C$2:$C$2000,H128,SCORES!$D$2:$D$2000,"&gt;=0")&gt;0,SUMIFS(SCORES!$D$2:$D$2000,SCORES!$A$2:$A$2000,A128,SCORES!$B$2:$B$2000,B128,SCORES!$C$2:$C$2000,H128),""))</f>
        <v>1</v>
      </c>
      <c r="J128" s="7" t="n">
        <f aca="false">IF(AND(ISNUMBER(I128),ISNUMBER(E128)),1,0)</f>
        <v>1</v>
      </c>
    </row>
    <row r="129" customFormat="false" ht="15" hidden="false" customHeight="false" outlineLevel="0" collapsed="false">
      <c r="A129" s="8" t="s">
        <v>81</v>
      </c>
      <c r="B129" s="8" t="s">
        <v>94</v>
      </c>
      <c r="C129" s="8" t="s">
        <v>25</v>
      </c>
      <c r="D129" s="8" t="n">
        <v>2</v>
      </c>
      <c r="E129" s="8" t="n">
        <v>1</v>
      </c>
      <c r="F129" s="10" t="n">
        <f aca="false">IF(COUNTIFS(SCORES!$A$2:$A$2000,A129,SCORES!$B$2:$B$2000,B129,SCORES!$C$2:$C$2000,C129,SCORES!$D$2:$D$2000,"&gt;=0")&gt;0,SUMIFS(SCORES!$D$2:$D$2000,SCORES!$A$2:$A$2000,A129,SCORES!$B$2:$B$2000,B129,SCORES!$C$2:$C$2000,C129),"")</f>
        <v>4</v>
      </c>
      <c r="G129" s="10" t="n">
        <f aca="false">IF(AND(ISNUMBER(F129),ISNUMBER(D129)),1,0)</f>
        <v>1</v>
      </c>
      <c r="H129" s="10" t="str">
        <f aca="false">IFERROR(INDEX(CHECKS!$F$2:$F$2000,MATCH(C129,CHECKS!$A$2:$A$2000,0))&amp;"","")</f>
        <v>W02</v>
      </c>
      <c r="I129" s="10" t="n">
        <f aca="false">IF(H129="","",IF(COUNTIFS(SCORES!$A$2:$A$2000,A129,SCORES!$B$2:$B$2000,B129,SCORES!$C$2:$C$2000,H129,SCORES!$D$2:$D$2000,"&gt;=0")&gt;0,SUMIFS(SCORES!$D$2:$D$2000,SCORES!$A$2:$A$2000,A129,SCORES!$B$2:$B$2000,B129,SCORES!$C$2:$C$2000,H129),""))</f>
        <v>3</v>
      </c>
      <c r="J129" s="10" t="n">
        <f aca="false">IF(AND(ISNUMBER(I129),ISNUMBER(E129)),1,0)</f>
        <v>1</v>
      </c>
    </row>
    <row r="130" customFormat="false" ht="15" hidden="false" customHeight="false" outlineLevel="0" collapsed="false">
      <c r="A130" s="5" t="s">
        <v>82</v>
      </c>
      <c r="B130" s="5" t="s">
        <v>94</v>
      </c>
      <c r="C130" s="5" t="s">
        <v>25</v>
      </c>
      <c r="D130" s="5" t="n">
        <v>3</v>
      </c>
      <c r="E130" s="5" t="n">
        <v>1</v>
      </c>
      <c r="F130" s="7" t="n">
        <f aca="false">IF(COUNTIFS(SCORES!$A$2:$A$2000,A130,SCORES!$B$2:$B$2000,B130,SCORES!$C$2:$C$2000,C130,SCORES!$D$2:$D$2000,"&gt;=0")&gt;0,SUMIFS(SCORES!$D$2:$D$2000,SCORES!$A$2:$A$2000,A130,SCORES!$B$2:$B$2000,B130,SCORES!$C$2:$C$2000,C130),"")</f>
        <v>2</v>
      </c>
      <c r="G130" s="7" t="n">
        <f aca="false">IF(AND(ISNUMBER(F130),ISNUMBER(D130)),1,0)</f>
        <v>1</v>
      </c>
      <c r="H130" s="7" t="str">
        <f aca="false">IFERROR(INDEX(CHECKS!$F$2:$F$2000,MATCH(C130,CHECKS!$A$2:$A$2000,0))&amp;"","")</f>
        <v>W02</v>
      </c>
      <c r="I130" s="7" t="n">
        <f aca="false">IF(H130="","",IF(COUNTIFS(SCORES!$A$2:$A$2000,A130,SCORES!$B$2:$B$2000,B130,SCORES!$C$2:$C$2000,H130,SCORES!$D$2:$D$2000,"&gt;=0")&gt;0,SUMIFS(SCORES!$D$2:$D$2000,SCORES!$A$2:$A$2000,A130,SCORES!$B$2:$B$2000,B130,SCORES!$C$2:$C$2000,H130),""))</f>
        <v>1</v>
      </c>
      <c r="J130" s="7" t="n">
        <f aca="false">IF(AND(ISNUMBER(I130),ISNUMBER(E130)),1,0)</f>
        <v>1</v>
      </c>
    </row>
    <row r="131" customFormat="false" ht="15" hidden="false" customHeight="false" outlineLevel="0" collapsed="false">
      <c r="A131" s="8" t="s">
        <v>83</v>
      </c>
      <c r="B131" s="8" t="s">
        <v>94</v>
      </c>
      <c r="C131" s="8" t="s">
        <v>25</v>
      </c>
      <c r="D131" s="8" t="n">
        <v>3</v>
      </c>
      <c r="E131" s="8" t="n">
        <v>1</v>
      </c>
      <c r="F131" s="10" t="n">
        <f aca="false">IF(COUNTIFS(SCORES!$A$2:$A$2000,A131,SCORES!$B$2:$B$2000,B131,SCORES!$C$2:$C$2000,C131,SCORES!$D$2:$D$2000,"&gt;=0")&gt;0,SUMIFS(SCORES!$D$2:$D$2000,SCORES!$A$2:$A$2000,A131,SCORES!$B$2:$B$2000,B131,SCORES!$C$2:$C$2000,C131),"")</f>
        <v>5</v>
      </c>
      <c r="G131" s="10" t="n">
        <f aca="false">IF(AND(ISNUMBER(F131),ISNUMBER(D131)),1,0)</f>
        <v>1</v>
      </c>
      <c r="H131" s="10" t="str">
        <f aca="false">IFERROR(INDEX(CHECKS!$F$2:$F$2000,MATCH(C131,CHECKS!$A$2:$A$2000,0))&amp;"","")</f>
        <v>W02</v>
      </c>
      <c r="I131" s="10" t="n">
        <f aca="false">IF(H131="","",IF(COUNTIFS(SCORES!$A$2:$A$2000,A131,SCORES!$B$2:$B$2000,B131,SCORES!$C$2:$C$2000,H131,SCORES!$D$2:$D$2000,"&gt;=0")&gt;0,SUMIFS(SCORES!$D$2:$D$2000,SCORES!$A$2:$A$2000,A131,SCORES!$B$2:$B$2000,B131,SCORES!$C$2:$C$2000,H131),""))</f>
        <v>4</v>
      </c>
      <c r="J131" s="10" t="n">
        <f aca="false">IF(AND(ISNUMBER(I131),ISNUMBER(E131)),1,0)</f>
        <v>1</v>
      </c>
    </row>
    <row r="132" customFormat="false" ht="15" hidden="false" customHeight="false" outlineLevel="0" collapsed="false">
      <c r="A132" s="5" t="s">
        <v>84</v>
      </c>
      <c r="B132" s="5" t="s">
        <v>94</v>
      </c>
      <c r="C132" s="5" t="s">
        <v>25</v>
      </c>
      <c r="D132" s="5" t="n">
        <v>2</v>
      </c>
      <c r="E132" s="5" t="n">
        <v>2</v>
      </c>
      <c r="F132" s="7" t="n">
        <f aca="false">IF(COUNTIFS(SCORES!$A$2:$A$2000,A132,SCORES!$B$2:$B$2000,B132,SCORES!$C$2:$C$2000,C132,SCORES!$D$2:$D$2000,"&gt;=0")&gt;0,SUMIFS(SCORES!$D$2:$D$2000,SCORES!$A$2:$A$2000,A132,SCORES!$B$2:$B$2000,B132,SCORES!$C$2:$C$2000,C132),"")</f>
        <v>0</v>
      </c>
      <c r="G132" s="7" t="n">
        <f aca="false">IF(AND(ISNUMBER(F132),ISNUMBER(D132)),1,0)</f>
        <v>1</v>
      </c>
      <c r="H132" s="7" t="str">
        <f aca="false">IFERROR(INDEX(CHECKS!$F$2:$F$2000,MATCH(C132,CHECKS!$A$2:$A$2000,0))&amp;"","")</f>
        <v>W02</v>
      </c>
      <c r="I132" s="7" t="str">
        <f aca="false">IF(H132="","",IF(COUNTIFS(SCORES!$A$2:$A$2000,A132,SCORES!$B$2:$B$2000,B132,SCORES!$C$2:$C$2000,H132,SCORES!$D$2:$D$2000,"&gt;=0")&gt;0,SUMIFS(SCORES!$D$2:$D$2000,SCORES!$A$2:$A$2000,A132,SCORES!$B$2:$B$2000,B132,SCORES!$C$2:$C$2000,H132),""))</f>
        <v/>
      </c>
      <c r="J132" s="7" t="n">
        <f aca="false">IF(AND(ISNUMBER(I132),ISNUMBER(E132)),1,0)</f>
        <v>0</v>
      </c>
    </row>
    <row r="133" customFormat="false" ht="15" hidden="false" customHeight="false" outlineLevel="0" collapsed="false">
      <c r="A133" s="8" t="s">
        <v>86</v>
      </c>
      <c r="B133" s="8" t="s">
        <v>94</v>
      </c>
      <c r="C133" s="8" t="s">
        <v>25</v>
      </c>
      <c r="D133" s="8" t="n">
        <v>3</v>
      </c>
      <c r="E133" s="8" t="n">
        <v>1</v>
      </c>
      <c r="F133" s="10" t="n">
        <f aca="false">IF(COUNTIFS(SCORES!$A$2:$A$2000,A133,SCORES!$B$2:$B$2000,B133,SCORES!$C$2:$C$2000,C133,SCORES!$D$2:$D$2000,"&gt;=0")&gt;0,SUMIFS(SCORES!$D$2:$D$2000,SCORES!$A$2:$A$2000,A133,SCORES!$B$2:$B$2000,B133,SCORES!$C$2:$C$2000,C133),"")</f>
        <v>4</v>
      </c>
      <c r="G133" s="10" t="n">
        <f aca="false">IF(AND(ISNUMBER(F133),ISNUMBER(D133)),1,0)</f>
        <v>1</v>
      </c>
      <c r="H133" s="10" t="str">
        <f aca="false">IFERROR(INDEX(CHECKS!$F$2:$F$2000,MATCH(C133,CHECKS!$A$2:$A$2000,0))&amp;"","")</f>
        <v>W02</v>
      </c>
      <c r="I133" s="10" t="n">
        <f aca="false">IF(H133="","",IF(COUNTIFS(SCORES!$A$2:$A$2000,A133,SCORES!$B$2:$B$2000,B133,SCORES!$C$2:$C$2000,H133,SCORES!$D$2:$D$2000,"&gt;=0")&gt;0,SUMIFS(SCORES!$D$2:$D$2000,SCORES!$A$2:$A$2000,A133,SCORES!$B$2:$B$2000,B133,SCORES!$C$2:$C$2000,H133),""))</f>
        <v>2</v>
      </c>
      <c r="J133" s="10" t="n">
        <f aca="false">IF(AND(ISNUMBER(I133),ISNUMBER(E133)),1,0)</f>
        <v>1</v>
      </c>
    </row>
    <row r="134" customFormat="false" ht="15" hidden="false" customHeight="false" outlineLevel="0" collapsed="false">
      <c r="A134" s="5" t="s">
        <v>87</v>
      </c>
      <c r="B134" s="5" t="s">
        <v>94</v>
      </c>
      <c r="C134" s="5" t="s">
        <v>25</v>
      </c>
      <c r="D134" s="5" t="n">
        <v>2</v>
      </c>
      <c r="E134" s="5" t="n">
        <v>0</v>
      </c>
      <c r="F134" s="7" t="n">
        <f aca="false">IF(COUNTIFS(SCORES!$A$2:$A$2000,A134,SCORES!$B$2:$B$2000,B134,SCORES!$C$2:$C$2000,C134,SCORES!$D$2:$D$2000,"&gt;=0")&gt;0,SUMIFS(SCORES!$D$2:$D$2000,SCORES!$A$2:$A$2000,A134,SCORES!$B$2:$B$2000,B134,SCORES!$C$2:$C$2000,C134),"")</f>
        <v>1</v>
      </c>
      <c r="G134" s="7" t="n">
        <f aca="false">IF(AND(ISNUMBER(F134),ISNUMBER(D134)),1,0)</f>
        <v>1</v>
      </c>
      <c r="H134" s="7" t="str">
        <f aca="false">IFERROR(INDEX(CHECKS!$F$2:$F$2000,MATCH(C134,CHECKS!$A$2:$A$2000,0))&amp;"","")</f>
        <v>W02</v>
      </c>
      <c r="I134" s="7" t="n">
        <f aca="false">IF(H134="","",IF(COUNTIFS(SCORES!$A$2:$A$2000,A134,SCORES!$B$2:$B$2000,B134,SCORES!$C$2:$C$2000,H134,SCORES!$D$2:$D$2000,"&gt;=0")&gt;0,SUMIFS(SCORES!$D$2:$D$2000,SCORES!$A$2:$A$2000,A134,SCORES!$B$2:$B$2000,B134,SCORES!$C$2:$C$2000,H134),""))</f>
        <v>0</v>
      </c>
      <c r="J134" s="7" t="n">
        <f aca="false">IF(AND(ISNUMBER(I134),ISNUMBER(E134)),1,0)</f>
        <v>1</v>
      </c>
    </row>
    <row r="135" customFormat="false" ht="15" hidden="false" customHeight="false" outlineLevel="0" collapsed="false">
      <c r="A135" s="8" t="s">
        <v>88</v>
      </c>
      <c r="B135" s="8" t="s">
        <v>94</v>
      </c>
      <c r="C135" s="8" t="s">
        <v>25</v>
      </c>
      <c r="D135" s="8" t="n">
        <v>3</v>
      </c>
      <c r="E135" s="8" t="n">
        <v>1</v>
      </c>
      <c r="F135" s="10" t="n">
        <f aca="false">IF(COUNTIFS(SCORES!$A$2:$A$2000,A135,SCORES!$B$2:$B$2000,B135,SCORES!$C$2:$C$2000,C135,SCORES!$D$2:$D$2000,"&gt;=0")&gt;0,SUMIFS(SCORES!$D$2:$D$2000,SCORES!$A$2:$A$2000,A135,SCORES!$B$2:$B$2000,B135,SCORES!$C$2:$C$2000,C135),"")</f>
        <v>2</v>
      </c>
      <c r="G135" s="10" t="n">
        <f aca="false">IF(AND(ISNUMBER(F135),ISNUMBER(D135)),1,0)</f>
        <v>1</v>
      </c>
      <c r="H135" s="10" t="str">
        <f aca="false">IFERROR(INDEX(CHECKS!$F$2:$F$2000,MATCH(C135,CHECKS!$A$2:$A$2000,0))&amp;"","")</f>
        <v>W02</v>
      </c>
      <c r="I135" s="10" t="n">
        <f aca="false">IF(H135="","",IF(COUNTIFS(SCORES!$A$2:$A$2000,A135,SCORES!$B$2:$B$2000,B135,SCORES!$C$2:$C$2000,H135,SCORES!$D$2:$D$2000,"&gt;=0")&gt;0,SUMIFS(SCORES!$D$2:$D$2000,SCORES!$A$2:$A$2000,A135,SCORES!$B$2:$B$2000,B135,SCORES!$C$2:$C$2000,H135),""))</f>
        <v>5</v>
      </c>
      <c r="J135" s="10" t="n">
        <f aca="false">IF(AND(ISNUMBER(I135),ISNUMBER(E135)),1,0)</f>
        <v>1</v>
      </c>
    </row>
    <row r="136" customFormat="false" ht="15" hidden="false" customHeight="false" outlineLevel="0" collapsed="false">
      <c r="A136" s="5" t="s">
        <v>89</v>
      </c>
      <c r="B136" s="5" t="s">
        <v>94</v>
      </c>
      <c r="C136" s="5" t="s">
        <v>25</v>
      </c>
      <c r="D136" s="5" t="n">
        <v>2</v>
      </c>
      <c r="E136" s="5" t="n">
        <v>2</v>
      </c>
      <c r="F136" s="7" t="n">
        <f aca="false">IF(COUNTIFS(SCORES!$A$2:$A$2000,A136,SCORES!$B$2:$B$2000,B136,SCORES!$C$2:$C$2000,C136,SCORES!$D$2:$D$2000,"&gt;=0")&gt;0,SUMIFS(SCORES!$D$2:$D$2000,SCORES!$A$2:$A$2000,A136,SCORES!$B$2:$B$2000,B136,SCORES!$C$2:$C$2000,C136),"")</f>
        <v>4</v>
      </c>
      <c r="G136" s="7" t="n">
        <f aca="false">IF(AND(ISNUMBER(F136),ISNUMBER(D136)),1,0)</f>
        <v>1</v>
      </c>
      <c r="H136" s="7" t="str">
        <f aca="false">IFERROR(INDEX(CHECKS!$F$2:$F$2000,MATCH(C136,CHECKS!$A$2:$A$2000,0))&amp;"","")</f>
        <v>W02</v>
      </c>
      <c r="I136" s="7" t="n">
        <f aca="false">IF(H136="","",IF(COUNTIFS(SCORES!$A$2:$A$2000,A136,SCORES!$B$2:$B$2000,B136,SCORES!$C$2:$C$2000,H136,SCORES!$D$2:$D$2000,"&gt;=0")&gt;0,SUMIFS(SCORES!$D$2:$D$2000,SCORES!$A$2:$A$2000,A136,SCORES!$B$2:$B$2000,B136,SCORES!$C$2:$C$2000,H136),""))</f>
        <v>4</v>
      </c>
      <c r="J136" s="7" t="n">
        <f aca="false">IF(AND(ISNUMBER(I136),ISNUMBER(E136)),1,0)</f>
        <v>1</v>
      </c>
    </row>
    <row r="137" customFormat="false" ht="15" hidden="false" customHeight="false" outlineLevel="0" collapsed="false">
      <c r="A137" s="8" t="s">
        <v>90</v>
      </c>
      <c r="B137" s="8" t="s">
        <v>94</v>
      </c>
      <c r="C137" s="8" t="s">
        <v>25</v>
      </c>
      <c r="D137" s="8" t="n">
        <v>2</v>
      </c>
      <c r="E137" s="8" t="n">
        <v>0</v>
      </c>
      <c r="F137" s="10" t="n">
        <f aca="false">IF(COUNTIFS(SCORES!$A$2:$A$2000,A137,SCORES!$B$2:$B$2000,B137,SCORES!$C$2:$C$2000,C137,SCORES!$D$2:$D$2000,"&gt;=0")&gt;0,SUMIFS(SCORES!$D$2:$D$2000,SCORES!$A$2:$A$2000,A137,SCORES!$B$2:$B$2000,B137,SCORES!$C$2:$C$2000,C137),"")</f>
        <v>1</v>
      </c>
      <c r="G137" s="10" t="n">
        <f aca="false">IF(AND(ISNUMBER(F137),ISNUMBER(D137)),1,0)</f>
        <v>1</v>
      </c>
      <c r="H137" s="10" t="str">
        <f aca="false">IFERROR(INDEX(CHECKS!$F$2:$F$2000,MATCH(C137,CHECKS!$A$2:$A$2000,0))&amp;"","")</f>
        <v>W02</v>
      </c>
      <c r="I137" s="10" t="n">
        <f aca="false">IF(H137="","",IF(COUNTIFS(SCORES!$A$2:$A$2000,A137,SCORES!$B$2:$B$2000,B137,SCORES!$C$2:$C$2000,H137,SCORES!$D$2:$D$2000,"&gt;=0")&gt;0,SUMIFS(SCORES!$D$2:$D$2000,SCORES!$A$2:$A$2000,A137,SCORES!$B$2:$B$2000,B137,SCORES!$C$2:$C$2000,H137),""))</f>
        <v>0</v>
      </c>
      <c r="J137" s="10" t="n">
        <f aca="false">IF(AND(ISNUMBER(I137),ISNUMBER(E137)),1,0)</f>
        <v>1</v>
      </c>
    </row>
    <row r="138" customFormat="false" ht="15" hidden="false" customHeight="false" outlineLevel="0" collapsed="false">
      <c r="A138" s="5" t="s">
        <v>91</v>
      </c>
      <c r="B138" s="5" t="s">
        <v>94</v>
      </c>
      <c r="C138" s="5" t="s">
        <v>25</v>
      </c>
      <c r="D138" s="5" t="n">
        <v>1</v>
      </c>
      <c r="E138" s="5" t="n">
        <v>1</v>
      </c>
      <c r="F138" s="7" t="n">
        <f aca="false">IF(COUNTIFS(SCORES!$A$2:$A$2000,A138,SCORES!$B$2:$B$2000,B138,SCORES!$C$2:$C$2000,C138,SCORES!$D$2:$D$2000,"&gt;=0")&gt;0,SUMIFS(SCORES!$D$2:$D$2000,SCORES!$A$2:$A$2000,A138,SCORES!$B$2:$B$2000,B138,SCORES!$C$2:$C$2000,C138),"")</f>
        <v>2</v>
      </c>
      <c r="G138" s="7" t="n">
        <f aca="false">IF(AND(ISNUMBER(F138),ISNUMBER(D138)),1,0)</f>
        <v>1</v>
      </c>
      <c r="H138" s="7" t="str">
        <f aca="false">IFERROR(INDEX(CHECKS!$F$2:$F$2000,MATCH(C138,CHECKS!$A$2:$A$2000,0))&amp;"","")</f>
        <v>W02</v>
      </c>
      <c r="I138" s="7" t="n">
        <f aca="false">IF(H138="","",IF(COUNTIFS(SCORES!$A$2:$A$2000,A138,SCORES!$B$2:$B$2000,B138,SCORES!$C$2:$C$2000,H138,SCORES!$D$2:$D$2000,"&gt;=0")&gt;0,SUMIFS(SCORES!$D$2:$D$2000,SCORES!$A$2:$A$2000,A138,SCORES!$B$2:$B$2000,B138,SCORES!$C$2:$C$2000,H138),""))</f>
        <v>1</v>
      </c>
      <c r="J138" s="7" t="n">
        <f aca="false">IF(AND(ISNUMBER(I138),ISNUMBER(E138)),1,0)</f>
        <v>1</v>
      </c>
    </row>
    <row r="139" customFormat="false" ht="15" hidden="false" customHeight="false" outlineLevel="0" collapsed="false">
      <c r="A139" s="8" t="s">
        <v>92</v>
      </c>
      <c r="B139" s="8" t="s">
        <v>94</v>
      </c>
      <c r="C139" s="8" t="s">
        <v>25</v>
      </c>
      <c r="D139" s="8" t="n">
        <v>3</v>
      </c>
      <c r="E139" s="8" t="n">
        <v>1</v>
      </c>
      <c r="F139" s="10" t="n">
        <f aca="false">IF(COUNTIFS(SCORES!$A$2:$A$2000,A139,SCORES!$B$2:$B$2000,B139,SCORES!$C$2:$C$2000,C139,SCORES!$D$2:$D$2000,"&gt;=0")&gt;0,SUMIFS(SCORES!$D$2:$D$2000,SCORES!$A$2:$A$2000,A139,SCORES!$B$2:$B$2000,B139,SCORES!$C$2:$C$2000,C139),"")</f>
        <v>4</v>
      </c>
      <c r="G139" s="10" t="n">
        <f aca="false">IF(AND(ISNUMBER(F139),ISNUMBER(D139)),1,0)</f>
        <v>1</v>
      </c>
      <c r="H139" s="10" t="str">
        <f aca="false">IFERROR(INDEX(CHECKS!$F$2:$F$2000,MATCH(C139,CHECKS!$A$2:$A$2000,0))&amp;"","")</f>
        <v>W02</v>
      </c>
      <c r="I139" s="10" t="n">
        <f aca="false">IF(H139="","",IF(COUNTIFS(SCORES!$A$2:$A$2000,A139,SCORES!$B$2:$B$2000,B139,SCORES!$C$2:$C$2000,H139,SCORES!$D$2:$D$2000,"&gt;=0")&gt;0,SUMIFS(SCORES!$D$2:$D$2000,SCORES!$A$2:$A$2000,A139,SCORES!$B$2:$B$2000,B139,SCORES!$C$2:$C$2000,H139),""))</f>
        <v>2</v>
      </c>
      <c r="J139" s="10" t="n">
        <f aca="false">IF(AND(ISNUMBER(I139),ISNUMBER(E139)),1,0)</f>
        <v>1</v>
      </c>
    </row>
    <row r="140" customFormat="false" ht="15" hidden="false" customHeight="false" outlineLevel="0" collapsed="false">
      <c r="A140" s="5" t="s">
        <v>93</v>
      </c>
      <c r="B140" s="5" t="s">
        <v>94</v>
      </c>
      <c r="C140" s="5" t="s">
        <v>25</v>
      </c>
      <c r="D140" s="5" t="n">
        <v>2</v>
      </c>
      <c r="E140" s="5" t="n">
        <v>1</v>
      </c>
      <c r="F140" s="7" t="n">
        <f aca="false">IF(COUNTIFS(SCORES!$A$2:$A$2000,A140,SCORES!$B$2:$B$2000,B140,SCORES!$C$2:$C$2000,C140,SCORES!$D$2:$D$2000,"&gt;=0")&gt;0,SUMIFS(SCORES!$D$2:$D$2000,SCORES!$A$2:$A$2000,A140,SCORES!$B$2:$B$2000,B140,SCORES!$C$2:$C$2000,C140),"")</f>
        <v>4</v>
      </c>
      <c r="G140" s="7" t="n">
        <f aca="false">IF(AND(ISNUMBER(F140),ISNUMBER(D140)),1,0)</f>
        <v>1</v>
      </c>
      <c r="H140" s="7" t="str">
        <f aca="false">IFERROR(INDEX(CHECKS!$F$2:$F$2000,MATCH(C140,CHECKS!$A$2:$A$2000,0))&amp;"","")</f>
        <v>W02</v>
      </c>
      <c r="I140" s="7" t="n">
        <f aca="false">IF(H140="","",IF(COUNTIFS(SCORES!$A$2:$A$2000,A140,SCORES!$B$2:$B$2000,B140,SCORES!$C$2:$C$2000,H140,SCORES!$D$2:$D$2000,"&gt;=0")&gt;0,SUMIFS(SCORES!$D$2:$D$2000,SCORES!$A$2:$A$2000,A140,SCORES!$B$2:$B$2000,B140,SCORES!$C$2:$C$2000,H140),""))</f>
        <v>2</v>
      </c>
      <c r="J140" s="7" t="n">
        <f aca="false">IF(AND(ISNUMBER(I140),ISNUMBER(E140)),1,0)</f>
        <v>1</v>
      </c>
    </row>
    <row r="141" customFormat="false" ht="15" hidden="false" customHeight="false" outlineLevel="0" collapsed="false">
      <c r="A141" s="8" t="s">
        <v>67</v>
      </c>
      <c r="B141" s="8" t="s">
        <v>68</v>
      </c>
      <c r="C141" s="8" t="s">
        <v>27</v>
      </c>
      <c r="D141" s="8" t="n">
        <v>1</v>
      </c>
      <c r="E141" s="8" t="n">
        <v>2</v>
      </c>
      <c r="F141" s="10" t="n">
        <f aca="false">IF(COUNTIFS(SCORES!$A$2:$A$2000,A141,SCORES!$B$2:$B$2000,B141,SCORES!$C$2:$C$2000,C141,SCORES!$D$2:$D$2000,"&gt;=0")&gt;0,SUMIFS(SCORES!$D$2:$D$2000,SCORES!$A$2:$A$2000,A141,SCORES!$B$2:$B$2000,B141,SCORES!$C$2:$C$2000,C141),"")</f>
        <v>3</v>
      </c>
      <c r="G141" s="10" t="n">
        <f aca="false">IF(AND(ISNUMBER(F141),ISNUMBER(D141)),1,0)</f>
        <v>1</v>
      </c>
      <c r="H141" s="10" t="str">
        <f aca="false">IFERROR(INDEX(CHECKS!$F$2:$F$2000,MATCH(C141,CHECKS!$A$2:$A$2000,0))&amp;"","")</f>
        <v>W03</v>
      </c>
      <c r="I141" s="10" t="n">
        <f aca="false">IF(H141="","",IF(COUNTIFS(SCORES!$A$2:$A$2000,A141,SCORES!$B$2:$B$2000,B141,SCORES!$C$2:$C$2000,H141,SCORES!$D$2:$D$2000,"&gt;=0")&gt;0,SUMIFS(SCORES!$D$2:$D$2000,SCORES!$A$2:$A$2000,A141,SCORES!$B$2:$B$2000,B141,SCORES!$C$2:$C$2000,H141),""))</f>
        <v>4</v>
      </c>
      <c r="J141" s="10" t="n">
        <f aca="false">IF(AND(ISNUMBER(I141),ISNUMBER(E141)),1,0)</f>
        <v>1</v>
      </c>
    </row>
    <row r="142" customFormat="false" ht="15" hidden="false" customHeight="false" outlineLevel="0" collapsed="false">
      <c r="A142" s="5" t="s">
        <v>69</v>
      </c>
      <c r="B142" s="5" t="s">
        <v>68</v>
      </c>
      <c r="C142" s="5" t="s">
        <v>27</v>
      </c>
      <c r="D142" s="5" t="n">
        <v>3</v>
      </c>
      <c r="E142" s="5" t="n">
        <v>2</v>
      </c>
      <c r="F142" s="7" t="n">
        <f aca="false">IF(COUNTIFS(SCORES!$A$2:$A$2000,A142,SCORES!$B$2:$B$2000,B142,SCORES!$C$2:$C$2000,C142,SCORES!$D$2:$D$2000,"&gt;=0")&gt;0,SUMIFS(SCORES!$D$2:$D$2000,SCORES!$A$2:$A$2000,A142,SCORES!$B$2:$B$2000,B142,SCORES!$C$2:$C$2000,C142),"")</f>
        <v>3</v>
      </c>
      <c r="G142" s="7" t="n">
        <f aca="false">IF(AND(ISNUMBER(F142),ISNUMBER(D142)),1,0)</f>
        <v>1</v>
      </c>
      <c r="H142" s="7" t="str">
        <f aca="false">IFERROR(INDEX(CHECKS!$F$2:$F$2000,MATCH(C142,CHECKS!$A$2:$A$2000,0))&amp;"","")</f>
        <v>W03</v>
      </c>
      <c r="I142" s="7" t="n">
        <f aca="false">IF(H142="","",IF(COUNTIFS(SCORES!$A$2:$A$2000,A142,SCORES!$B$2:$B$2000,B142,SCORES!$C$2:$C$2000,H142,SCORES!$D$2:$D$2000,"&gt;=0")&gt;0,SUMIFS(SCORES!$D$2:$D$2000,SCORES!$A$2:$A$2000,A142,SCORES!$B$2:$B$2000,B142,SCORES!$C$2:$C$2000,H142),""))</f>
        <v>3</v>
      </c>
      <c r="J142" s="7" t="n">
        <f aca="false">IF(AND(ISNUMBER(I142),ISNUMBER(E142)),1,0)</f>
        <v>1</v>
      </c>
    </row>
    <row r="143" customFormat="false" ht="15" hidden="false" customHeight="false" outlineLevel="0" collapsed="false">
      <c r="A143" s="8" t="s">
        <v>71</v>
      </c>
      <c r="B143" s="8" t="s">
        <v>68</v>
      </c>
      <c r="C143" s="8" t="s">
        <v>27</v>
      </c>
      <c r="D143" s="8" t="n">
        <v>2</v>
      </c>
      <c r="E143" s="8" t="n">
        <v>1</v>
      </c>
      <c r="F143" s="10" t="n">
        <f aca="false">IF(COUNTIFS(SCORES!$A$2:$A$2000,A143,SCORES!$B$2:$B$2000,B143,SCORES!$C$2:$C$2000,C143,SCORES!$D$2:$D$2000,"&gt;=0")&gt;0,SUMIFS(SCORES!$D$2:$D$2000,SCORES!$A$2:$A$2000,A143,SCORES!$B$2:$B$2000,B143,SCORES!$C$2:$C$2000,C143),"")</f>
        <v>3</v>
      </c>
      <c r="G143" s="10" t="n">
        <f aca="false">IF(AND(ISNUMBER(F143),ISNUMBER(D143)),1,0)</f>
        <v>1</v>
      </c>
      <c r="H143" s="10" t="str">
        <f aca="false">IFERROR(INDEX(CHECKS!$F$2:$F$2000,MATCH(C143,CHECKS!$A$2:$A$2000,0))&amp;"","")</f>
        <v>W03</v>
      </c>
      <c r="I143" s="10" t="n">
        <f aca="false">IF(H143="","",IF(COUNTIFS(SCORES!$A$2:$A$2000,A143,SCORES!$B$2:$B$2000,B143,SCORES!$C$2:$C$2000,H143,SCORES!$D$2:$D$2000,"&gt;=0")&gt;0,SUMIFS(SCORES!$D$2:$D$2000,SCORES!$A$2:$A$2000,A143,SCORES!$B$2:$B$2000,B143,SCORES!$C$2:$C$2000,H143),""))</f>
        <v>5</v>
      </c>
      <c r="J143" s="10" t="n">
        <f aca="false">IF(AND(ISNUMBER(I143),ISNUMBER(E143)),1,0)</f>
        <v>1</v>
      </c>
    </row>
    <row r="144" customFormat="false" ht="15" hidden="false" customHeight="false" outlineLevel="0" collapsed="false">
      <c r="A144" s="5" t="s">
        <v>72</v>
      </c>
      <c r="B144" s="5" t="s">
        <v>68</v>
      </c>
      <c r="C144" s="5" t="s">
        <v>27</v>
      </c>
      <c r="D144" s="5" t="n">
        <v>2</v>
      </c>
      <c r="E144" s="5" t="n">
        <v>2</v>
      </c>
      <c r="F144" s="7" t="n">
        <f aca="false">IF(COUNTIFS(SCORES!$A$2:$A$2000,A144,SCORES!$B$2:$B$2000,B144,SCORES!$C$2:$C$2000,C144,SCORES!$D$2:$D$2000,"&gt;=0")&gt;0,SUMIFS(SCORES!$D$2:$D$2000,SCORES!$A$2:$A$2000,A144,SCORES!$B$2:$B$2000,B144,SCORES!$C$2:$C$2000,C144),"")</f>
        <v>2</v>
      </c>
      <c r="G144" s="7" t="n">
        <f aca="false">IF(AND(ISNUMBER(F144),ISNUMBER(D144)),1,0)</f>
        <v>1</v>
      </c>
      <c r="H144" s="7" t="str">
        <f aca="false">IFERROR(INDEX(CHECKS!$F$2:$F$2000,MATCH(C144,CHECKS!$A$2:$A$2000,0))&amp;"","")</f>
        <v>W03</v>
      </c>
      <c r="I144" s="7" t="n">
        <f aca="false">IF(H144="","",IF(COUNTIFS(SCORES!$A$2:$A$2000,A144,SCORES!$B$2:$B$2000,B144,SCORES!$C$2:$C$2000,H144,SCORES!$D$2:$D$2000,"&gt;=0")&gt;0,SUMIFS(SCORES!$D$2:$D$2000,SCORES!$A$2:$A$2000,A144,SCORES!$B$2:$B$2000,B144,SCORES!$C$2:$C$2000,H144),""))</f>
        <v>3</v>
      </c>
      <c r="J144" s="7" t="n">
        <f aca="false">IF(AND(ISNUMBER(I144),ISNUMBER(E144)),1,0)</f>
        <v>1</v>
      </c>
    </row>
    <row r="145" customFormat="false" ht="15" hidden="false" customHeight="false" outlineLevel="0" collapsed="false">
      <c r="A145" s="8" t="s">
        <v>73</v>
      </c>
      <c r="B145" s="8" t="s">
        <v>68</v>
      </c>
      <c r="C145" s="8" t="s">
        <v>27</v>
      </c>
      <c r="D145" s="8" t="n">
        <v>2</v>
      </c>
      <c r="E145" s="8" t="n">
        <v>1</v>
      </c>
      <c r="F145" s="10" t="n">
        <f aca="false">IF(COUNTIFS(SCORES!$A$2:$A$2000,A145,SCORES!$B$2:$B$2000,B145,SCORES!$C$2:$C$2000,C145,SCORES!$D$2:$D$2000,"&gt;=0")&gt;0,SUMIFS(SCORES!$D$2:$D$2000,SCORES!$A$2:$A$2000,A145,SCORES!$B$2:$B$2000,B145,SCORES!$C$2:$C$2000,C145),"")</f>
        <v>1</v>
      </c>
      <c r="G145" s="10" t="n">
        <f aca="false">IF(AND(ISNUMBER(F145),ISNUMBER(D145)),1,0)</f>
        <v>1</v>
      </c>
      <c r="H145" s="10" t="str">
        <f aca="false">IFERROR(INDEX(CHECKS!$F$2:$F$2000,MATCH(C145,CHECKS!$A$2:$A$2000,0))&amp;"","")</f>
        <v>W03</v>
      </c>
      <c r="I145" s="10" t="n">
        <f aca="false">IF(H145="","",IF(COUNTIFS(SCORES!$A$2:$A$2000,A145,SCORES!$B$2:$B$2000,B145,SCORES!$C$2:$C$2000,H145,SCORES!$D$2:$D$2000,"&gt;=0")&gt;0,SUMIFS(SCORES!$D$2:$D$2000,SCORES!$A$2:$A$2000,A145,SCORES!$B$2:$B$2000,B145,SCORES!$C$2:$C$2000,H145),""))</f>
        <v>4</v>
      </c>
      <c r="J145" s="10" t="n">
        <f aca="false">IF(AND(ISNUMBER(I145),ISNUMBER(E145)),1,0)</f>
        <v>1</v>
      </c>
    </row>
    <row r="146" customFormat="false" ht="15" hidden="false" customHeight="false" outlineLevel="0" collapsed="false">
      <c r="A146" s="5" t="s">
        <v>74</v>
      </c>
      <c r="B146" s="5" t="s">
        <v>68</v>
      </c>
      <c r="C146" s="5" t="s">
        <v>27</v>
      </c>
      <c r="D146" s="5" t="n">
        <v>0</v>
      </c>
      <c r="E146" s="5" t="n">
        <v>2</v>
      </c>
      <c r="F146" s="7" t="n">
        <f aca="false">IF(COUNTIFS(SCORES!$A$2:$A$2000,A146,SCORES!$B$2:$B$2000,B146,SCORES!$C$2:$C$2000,C146,SCORES!$D$2:$D$2000,"&gt;=0")&gt;0,SUMIFS(SCORES!$D$2:$D$2000,SCORES!$A$2:$A$2000,A146,SCORES!$B$2:$B$2000,B146,SCORES!$C$2:$C$2000,C146),"")</f>
        <v>3</v>
      </c>
      <c r="G146" s="7" t="n">
        <f aca="false">IF(AND(ISNUMBER(F146),ISNUMBER(D146)),1,0)</f>
        <v>1</v>
      </c>
      <c r="H146" s="7" t="str">
        <f aca="false">IFERROR(INDEX(CHECKS!$F$2:$F$2000,MATCH(C146,CHECKS!$A$2:$A$2000,0))&amp;"","")</f>
        <v>W03</v>
      </c>
      <c r="I146" s="7" t="n">
        <f aca="false">IF(H146="","",IF(COUNTIFS(SCORES!$A$2:$A$2000,A146,SCORES!$B$2:$B$2000,B146,SCORES!$C$2:$C$2000,H146,SCORES!$D$2:$D$2000,"&gt;=0")&gt;0,SUMIFS(SCORES!$D$2:$D$2000,SCORES!$A$2:$A$2000,A146,SCORES!$B$2:$B$2000,B146,SCORES!$C$2:$C$2000,H146),""))</f>
        <v>3</v>
      </c>
      <c r="J146" s="7" t="n">
        <f aca="false">IF(AND(ISNUMBER(I146),ISNUMBER(E146)),1,0)</f>
        <v>1</v>
      </c>
    </row>
    <row r="147" customFormat="false" ht="15" hidden="false" customHeight="false" outlineLevel="0" collapsed="false">
      <c r="A147" s="8" t="s">
        <v>75</v>
      </c>
      <c r="B147" s="8" t="s">
        <v>68</v>
      </c>
      <c r="C147" s="8" t="s">
        <v>27</v>
      </c>
      <c r="D147" s="8" t="n">
        <v>3</v>
      </c>
      <c r="E147" s="8" t="n">
        <v>2</v>
      </c>
      <c r="F147" s="10" t="n">
        <f aca="false">IF(COUNTIFS(SCORES!$A$2:$A$2000,A147,SCORES!$B$2:$B$2000,B147,SCORES!$C$2:$C$2000,C147,SCORES!$D$2:$D$2000,"&gt;=0")&gt;0,SUMIFS(SCORES!$D$2:$D$2000,SCORES!$A$2:$A$2000,A147,SCORES!$B$2:$B$2000,B147,SCORES!$C$2:$C$2000,C147),"")</f>
        <v>5</v>
      </c>
      <c r="G147" s="10" t="n">
        <f aca="false">IF(AND(ISNUMBER(F147),ISNUMBER(D147)),1,0)</f>
        <v>1</v>
      </c>
      <c r="H147" s="10" t="str">
        <f aca="false">IFERROR(INDEX(CHECKS!$F$2:$F$2000,MATCH(C147,CHECKS!$A$2:$A$2000,0))&amp;"","")</f>
        <v>W03</v>
      </c>
      <c r="I147" s="10" t="n">
        <f aca="false">IF(H147="","",IF(COUNTIFS(SCORES!$A$2:$A$2000,A147,SCORES!$B$2:$B$2000,B147,SCORES!$C$2:$C$2000,H147,SCORES!$D$2:$D$2000,"&gt;=0")&gt;0,SUMIFS(SCORES!$D$2:$D$2000,SCORES!$A$2:$A$2000,A147,SCORES!$B$2:$B$2000,B147,SCORES!$C$2:$C$2000,H147),""))</f>
        <v>4</v>
      </c>
      <c r="J147" s="10" t="n">
        <f aca="false">IF(AND(ISNUMBER(I147),ISNUMBER(E147)),1,0)</f>
        <v>1</v>
      </c>
    </row>
    <row r="148" customFormat="false" ht="15" hidden="false" customHeight="false" outlineLevel="0" collapsed="false">
      <c r="A148" s="5" t="s">
        <v>76</v>
      </c>
      <c r="B148" s="5" t="s">
        <v>68</v>
      </c>
      <c r="C148" s="5" t="s">
        <v>27</v>
      </c>
      <c r="D148" s="5" t="n">
        <v>2</v>
      </c>
      <c r="E148" s="5" t="n">
        <v>2</v>
      </c>
      <c r="F148" s="7" t="n">
        <f aca="false">IF(COUNTIFS(SCORES!$A$2:$A$2000,A148,SCORES!$B$2:$B$2000,B148,SCORES!$C$2:$C$2000,C148,SCORES!$D$2:$D$2000,"&gt;=0")&gt;0,SUMIFS(SCORES!$D$2:$D$2000,SCORES!$A$2:$A$2000,A148,SCORES!$B$2:$B$2000,B148,SCORES!$C$2:$C$2000,C148),"")</f>
        <v>3</v>
      </c>
      <c r="G148" s="7" t="n">
        <f aca="false">IF(AND(ISNUMBER(F148),ISNUMBER(D148)),1,0)</f>
        <v>1</v>
      </c>
      <c r="H148" s="7" t="str">
        <f aca="false">IFERROR(INDEX(CHECKS!$F$2:$F$2000,MATCH(C148,CHECKS!$A$2:$A$2000,0))&amp;"","")</f>
        <v>W03</v>
      </c>
      <c r="I148" s="7" t="n">
        <f aca="false">IF(H148="","",IF(COUNTIFS(SCORES!$A$2:$A$2000,A148,SCORES!$B$2:$B$2000,B148,SCORES!$C$2:$C$2000,H148,SCORES!$D$2:$D$2000,"&gt;=0")&gt;0,SUMIFS(SCORES!$D$2:$D$2000,SCORES!$A$2:$A$2000,A148,SCORES!$B$2:$B$2000,B148,SCORES!$C$2:$C$2000,H148),""))</f>
        <v>3</v>
      </c>
      <c r="J148" s="7" t="n">
        <f aca="false">IF(AND(ISNUMBER(I148),ISNUMBER(E148)),1,0)</f>
        <v>1</v>
      </c>
    </row>
    <row r="149" customFormat="false" ht="15" hidden="false" customHeight="false" outlineLevel="0" collapsed="false">
      <c r="A149" s="8" t="s">
        <v>77</v>
      </c>
      <c r="B149" s="8" t="s">
        <v>68</v>
      </c>
      <c r="C149" s="8" t="s">
        <v>27</v>
      </c>
      <c r="D149" s="8" t="n">
        <v>3</v>
      </c>
      <c r="E149" s="8" t="n">
        <v>2</v>
      </c>
      <c r="F149" s="10" t="n">
        <f aca="false">IF(COUNTIFS(SCORES!$A$2:$A$2000,A149,SCORES!$B$2:$B$2000,B149,SCORES!$C$2:$C$2000,C149,SCORES!$D$2:$D$2000,"&gt;=0")&gt;0,SUMIFS(SCORES!$D$2:$D$2000,SCORES!$A$2:$A$2000,A149,SCORES!$B$2:$B$2000,B149,SCORES!$C$2:$C$2000,C149),"")</f>
        <v>3</v>
      </c>
      <c r="G149" s="10" t="n">
        <f aca="false">IF(AND(ISNUMBER(F149),ISNUMBER(D149)),1,0)</f>
        <v>1</v>
      </c>
      <c r="H149" s="10" t="str">
        <f aca="false">IFERROR(INDEX(CHECKS!$F$2:$F$2000,MATCH(C149,CHECKS!$A$2:$A$2000,0))&amp;"","")</f>
        <v>W03</v>
      </c>
      <c r="I149" s="10" t="n">
        <f aca="false">IF(H149="","",IF(COUNTIFS(SCORES!$A$2:$A$2000,A149,SCORES!$B$2:$B$2000,B149,SCORES!$C$2:$C$2000,H149,SCORES!$D$2:$D$2000,"&gt;=0")&gt;0,SUMIFS(SCORES!$D$2:$D$2000,SCORES!$A$2:$A$2000,A149,SCORES!$B$2:$B$2000,B149,SCORES!$C$2:$C$2000,H149),""))</f>
        <v>4</v>
      </c>
      <c r="J149" s="10" t="n">
        <f aca="false">IF(AND(ISNUMBER(I149),ISNUMBER(E149)),1,0)</f>
        <v>1</v>
      </c>
    </row>
    <row r="150" customFormat="false" ht="15" hidden="false" customHeight="false" outlineLevel="0" collapsed="false">
      <c r="A150" s="5" t="s">
        <v>78</v>
      </c>
      <c r="B150" s="5" t="s">
        <v>68</v>
      </c>
      <c r="C150" s="5" t="s">
        <v>27</v>
      </c>
      <c r="D150" s="5" t="n">
        <v>3</v>
      </c>
      <c r="E150" s="5" t="n">
        <v>2</v>
      </c>
      <c r="F150" s="7" t="str">
        <f aca="false">IF(COUNTIFS(SCORES!$A$2:$A$2000,A150,SCORES!$B$2:$B$2000,B150,SCORES!$C$2:$C$2000,C150,SCORES!$D$2:$D$2000,"&gt;=0")&gt;0,SUMIFS(SCORES!$D$2:$D$2000,SCORES!$A$2:$A$2000,A150,SCORES!$B$2:$B$2000,B150,SCORES!$C$2:$C$2000,C150),"")</f>
        <v/>
      </c>
      <c r="G150" s="7" t="n">
        <f aca="false">IF(AND(ISNUMBER(F150),ISNUMBER(D150)),1,0)</f>
        <v>0</v>
      </c>
      <c r="H150" s="7" t="str">
        <f aca="false">IFERROR(INDEX(CHECKS!$F$2:$F$2000,MATCH(C150,CHECKS!$A$2:$A$2000,0))&amp;"","")</f>
        <v>W03</v>
      </c>
      <c r="I150" s="7" t="n">
        <f aca="false">IF(H150="","",IF(COUNTIFS(SCORES!$A$2:$A$2000,A150,SCORES!$B$2:$B$2000,B150,SCORES!$C$2:$C$2000,H150,SCORES!$D$2:$D$2000,"&gt;=0")&gt;0,SUMIFS(SCORES!$D$2:$D$2000,SCORES!$A$2:$A$2000,A150,SCORES!$B$2:$B$2000,B150,SCORES!$C$2:$C$2000,H150),""))</f>
        <v>4</v>
      </c>
      <c r="J150" s="7" t="n">
        <f aca="false">IF(AND(ISNUMBER(I150),ISNUMBER(E150)),1,0)</f>
        <v>1</v>
      </c>
    </row>
    <row r="151" customFormat="false" ht="15" hidden="false" customHeight="false" outlineLevel="0" collapsed="false">
      <c r="A151" s="8" t="s">
        <v>79</v>
      </c>
      <c r="B151" s="8" t="s">
        <v>68</v>
      </c>
      <c r="C151" s="8" t="s">
        <v>27</v>
      </c>
      <c r="D151" s="8" t="n">
        <v>3</v>
      </c>
      <c r="E151" s="8" t="n">
        <v>2</v>
      </c>
      <c r="F151" s="10" t="n">
        <f aca="false">IF(COUNTIFS(SCORES!$A$2:$A$2000,A151,SCORES!$B$2:$B$2000,B151,SCORES!$C$2:$C$2000,C151,SCORES!$D$2:$D$2000,"&gt;=0")&gt;0,SUMIFS(SCORES!$D$2:$D$2000,SCORES!$A$2:$A$2000,A151,SCORES!$B$2:$B$2000,B151,SCORES!$C$2:$C$2000,C151),"")</f>
        <v>2</v>
      </c>
      <c r="G151" s="10" t="n">
        <f aca="false">IF(AND(ISNUMBER(F151),ISNUMBER(D151)),1,0)</f>
        <v>1</v>
      </c>
      <c r="H151" s="10" t="str">
        <f aca="false">IFERROR(INDEX(CHECKS!$F$2:$F$2000,MATCH(C151,CHECKS!$A$2:$A$2000,0))&amp;"","")</f>
        <v>W03</v>
      </c>
      <c r="I151" s="10" t="n">
        <f aca="false">IF(H151="","",IF(COUNTIFS(SCORES!$A$2:$A$2000,A151,SCORES!$B$2:$B$2000,B151,SCORES!$C$2:$C$2000,H151,SCORES!$D$2:$D$2000,"&gt;=0")&gt;0,SUMIFS(SCORES!$D$2:$D$2000,SCORES!$A$2:$A$2000,A151,SCORES!$B$2:$B$2000,B151,SCORES!$C$2:$C$2000,H151),""))</f>
        <v>3</v>
      </c>
      <c r="J151" s="10" t="n">
        <f aca="false">IF(AND(ISNUMBER(I151),ISNUMBER(E151)),1,0)</f>
        <v>1</v>
      </c>
    </row>
    <row r="152" customFormat="false" ht="15" hidden="false" customHeight="false" outlineLevel="0" collapsed="false">
      <c r="A152" s="5" t="s">
        <v>80</v>
      </c>
      <c r="B152" s="5" t="s">
        <v>68</v>
      </c>
      <c r="C152" s="5" t="s">
        <v>27</v>
      </c>
      <c r="D152" s="5" t="n">
        <v>3</v>
      </c>
      <c r="E152" s="5" t="n">
        <v>1</v>
      </c>
      <c r="F152" s="7" t="n">
        <f aca="false">IF(COUNTIFS(SCORES!$A$2:$A$2000,A152,SCORES!$B$2:$B$2000,B152,SCORES!$C$2:$C$2000,C152,SCORES!$D$2:$D$2000,"&gt;=0")&gt;0,SUMIFS(SCORES!$D$2:$D$2000,SCORES!$A$2:$A$2000,A152,SCORES!$B$2:$B$2000,B152,SCORES!$C$2:$C$2000,C152),"")</f>
        <v>3</v>
      </c>
      <c r="G152" s="7" t="n">
        <f aca="false">IF(AND(ISNUMBER(F152),ISNUMBER(D152)),1,0)</f>
        <v>1</v>
      </c>
      <c r="H152" s="7" t="str">
        <f aca="false">IFERROR(INDEX(CHECKS!$F$2:$F$2000,MATCH(C152,CHECKS!$A$2:$A$2000,0))&amp;"","")</f>
        <v>W03</v>
      </c>
      <c r="I152" s="7" t="n">
        <f aca="false">IF(H152="","",IF(COUNTIFS(SCORES!$A$2:$A$2000,A152,SCORES!$B$2:$B$2000,B152,SCORES!$C$2:$C$2000,H152,SCORES!$D$2:$D$2000,"&gt;=0")&gt;0,SUMIFS(SCORES!$D$2:$D$2000,SCORES!$A$2:$A$2000,A152,SCORES!$B$2:$B$2000,B152,SCORES!$C$2:$C$2000,H152),""))</f>
        <v>3</v>
      </c>
      <c r="J152" s="7" t="n">
        <f aca="false">IF(AND(ISNUMBER(I152),ISNUMBER(E152)),1,0)</f>
        <v>1</v>
      </c>
    </row>
    <row r="153" customFormat="false" ht="15" hidden="false" customHeight="false" outlineLevel="0" collapsed="false">
      <c r="A153" s="8" t="s">
        <v>81</v>
      </c>
      <c r="B153" s="8" t="s">
        <v>68</v>
      </c>
      <c r="C153" s="8" t="s">
        <v>27</v>
      </c>
      <c r="D153" s="8" t="n">
        <v>1</v>
      </c>
      <c r="E153" s="8" t="n">
        <v>0</v>
      </c>
      <c r="F153" s="10" t="n">
        <f aca="false">IF(COUNTIFS(SCORES!$A$2:$A$2000,A153,SCORES!$B$2:$B$2000,B153,SCORES!$C$2:$C$2000,C153,SCORES!$D$2:$D$2000,"&gt;=0")&gt;0,SUMIFS(SCORES!$D$2:$D$2000,SCORES!$A$2:$A$2000,A153,SCORES!$B$2:$B$2000,B153,SCORES!$C$2:$C$2000,C153),"")</f>
        <v>1</v>
      </c>
      <c r="G153" s="10" t="n">
        <f aca="false">IF(AND(ISNUMBER(F153),ISNUMBER(D153)),1,0)</f>
        <v>1</v>
      </c>
      <c r="H153" s="10" t="str">
        <f aca="false">IFERROR(INDEX(CHECKS!$F$2:$F$2000,MATCH(C153,CHECKS!$A$2:$A$2000,0))&amp;"","")</f>
        <v>W03</v>
      </c>
      <c r="I153" s="10" t="n">
        <f aca="false">IF(H153="","",IF(COUNTIFS(SCORES!$A$2:$A$2000,A153,SCORES!$B$2:$B$2000,B153,SCORES!$C$2:$C$2000,H153,SCORES!$D$2:$D$2000,"&gt;=0")&gt;0,SUMIFS(SCORES!$D$2:$D$2000,SCORES!$A$2:$A$2000,A153,SCORES!$B$2:$B$2000,B153,SCORES!$C$2:$C$2000,H153),""))</f>
        <v>3</v>
      </c>
      <c r="J153" s="10" t="n">
        <f aca="false">IF(AND(ISNUMBER(I153),ISNUMBER(E153)),1,0)</f>
        <v>1</v>
      </c>
    </row>
    <row r="154" customFormat="false" ht="15" hidden="false" customHeight="false" outlineLevel="0" collapsed="false">
      <c r="A154" s="5" t="s">
        <v>82</v>
      </c>
      <c r="B154" s="5" t="s">
        <v>68</v>
      </c>
      <c r="C154" s="5" t="s">
        <v>27</v>
      </c>
      <c r="D154" s="5" t="n">
        <v>3</v>
      </c>
      <c r="E154" s="5" t="n">
        <v>2</v>
      </c>
      <c r="F154" s="7" t="n">
        <f aca="false">IF(COUNTIFS(SCORES!$A$2:$A$2000,A154,SCORES!$B$2:$B$2000,B154,SCORES!$C$2:$C$2000,C154,SCORES!$D$2:$D$2000,"&gt;=0")&gt;0,SUMIFS(SCORES!$D$2:$D$2000,SCORES!$A$2:$A$2000,A154,SCORES!$B$2:$B$2000,B154,SCORES!$C$2:$C$2000,C154),"")</f>
        <v>3</v>
      </c>
      <c r="G154" s="7" t="n">
        <f aca="false">IF(AND(ISNUMBER(F154),ISNUMBER(D154)),1,0)</f>
        <v>1</v>
      </c>
      <c r="H154" s="7" t="str">
        <f aca="false">IFERROR(INDEX(CHECKS!$F$2:$F$2000,MATCH(C154,CHECKS!$A$2:$A$2000,0))&amp;"","")</f>
        <v>W03</v>
      </c>
      <c r="I154" s="7" t="n">
        <f aca="false">IF(H154="","",IF(COUNTIFS(SCORES!$A$2:$A$2000,A154,SCORES!$B$2:$B$2000,B154,SCORES!$C$2:$C$2000,H154,SCORES!$D$2:$D$2000,"&gt;=0")&gt;0,SUMIFS(SCORES!$D$2:$D$2000,SCORES!$A$2:$A$2000,A154,SCORES!$B$2:$B$2000,B154,SCORES!$C$2:$C$2000,H154),""))</f>
        <v>5</v>
      </c>
      <c r="J154" s="7" t="n">
        <f aca="false">IF(AND(ISNUMBER(I154),ISNUMBER(E154)),1,0)</f>
        <v>1</v>
      </c>
    </row>
    <row r="155" customFormat="false" ht="15" hidden="false" customHeight="false" outlineLevel="0" collapsed="false">
      <c r="A155" s="8" t="s">
        <v>83</v>
      </c>
      <c r="B155" s="8" t="s">
        <v>68</v>
      </c>
      <c r="C155" s="8" t="s">
        <v>27</v>
      </c>
      <c r="D155" s="8" t="n">
        <v>2</v>
      </c>
      <c r="E155" s="8" t="n">
        <v>2</v>
      </c>
      <c r="F155" s="10" t="n">
        <f aca="false">IF(COUNTIFS(SCORES!$A$2:$A$2000,A155,SCORES!$B$2:$B$2000,B155,SCORES!$C$2:$C$2000,C155,SCORES!$D$2:$D$2000,"&gt;=0")&gt;0,SUMIFS(SCORES!$D$2:$D$2000,SCORES!$A$2:$A$2000,A155,SCORES!$B$2:$B$2000,B155,SCORES!$C$2:$C$2000,C155),"")</f>
        <v>4</v>
      </c>
      <c r="G155" s="10" t="n">
        <f aca="false">IF(AND(ISNUMBER(F155),ISNUMBER(D155)),1,0)</f>
        <v>1</v>
      </c>
      <c r="H155" s="10" t="str">
        <f aca="false">IFERROR(INDEX(CHECKS!$F$2:$F$2000,MATCH(C155,CHECKS!$A$2:$A$2000,0))&amp;"","")</f>
        <v>W03</v>
      </c>
      <c r="I155" s="10" t="str">
        <f aca="false">IF(H155="","",IF(COUNTIFS(SCORES!$A$2:$A$2000,A155,SCORES!$B$2:$B$2000,B155,SCORES!$C$2:$C$2000,H155,SCORES!$D$2:$D$2000,"&gt;=0")&gt;0,SUMIFS(SCORES!$D$2:$D$2000,SCORES!$A$2:$A$2000,A155,SCORES!$B$2:$B$2000,B155,SCORES!$C$2:$C$2000,H155),""))</f>
        <v/>
      </c>
      <c r="J155" s="10" t="n">
        <f aca="false">IF(AND(ISNUMBER(I155),ISNUMBER(E155)),1,0)</f>
        <v>0</v>
      </c>
    </row>
    <row r="156" customFormat="false" ht="15" hidden="false" customHeight="false" outlineLevel="0" collapsed="false">
      <c r="A156" s="5" t="s">
        <v>84</v>
      </c>
      <c r="B156" s="5" t="s">
        <v>68</v>
      </c>
      <c r="C156" s="5" t="s">
        <v>27</v>
      </c>
      <c r="D156" s="5" t="n">
        <v>1</v>
      </c>
      <c r="E156" s="5" t="n">
        <v>2</v>
      </c>
      <c r="F156" s="7" t="n">
        <f aca="false">IF(COUNTIFS(SCORES!$A$2:$A$2000,A156,SCORES!$B$2:$B$2000,B156,SCORES!$C$2:$C$2000,C156,SCORES!$D$2:$D$2000,"&gt;=0")&gt;0,SUMIFS(SCORES!$D$2:$D$2000,SCORES!$A$2:$A$2000,A156,SCORES!$B$2:$B$2000,B156,SCORES!$C$2:$C$2000,C156),"")</f>
        <v>4</v>
      </c>
      <c r="G156" s="7" t="n">
        <f aca="false">IF(AND(ISNUMBER(F156),ISNUMBER(D156)),1,0)</f>
        <v>1</v>
      </c>
      <c r="H156" s="7" t="str">
        <f aca="false">IFERROR(INDEX(CHECKS!$F$2:$F$2000,MATCH(C156,CHECKS!$A$2:$A$2000,0))&amp;"","")</f>
        <v>W03</v>
      </c>
      <c r="I156" s="7" t="n">
        <f aca="false">IF(H156="","",IF(COUNTIFS(SCORES!$A$2:$A$2000,A156,SCORES!$B$2:$B$2000,B156,SCORES!$C$2:$C$2000,H156,SCORES!$D$2:$D$2000,"&gt;=0")&gt;0,SUMIFS(SCORES!$D$2:$D$2000,SCORES!$A$2:$A$2000,A156,SCORES!$B$2:$B$2000,B156,SCORES!$C$2:$C$2000,H156),""))</f>
        <v>3</v>
      </c>
      <c r="J156" s="7" t="n">
        <f aca="false">IF(AND(ISNUMBER(I156),ISNUMBER(E156)),1,0)</f>
        <v>1</v>
      </c>
    </row>
    <row r="157" customFormat="false" ht="15" hidden="false" customHeight="false" outlineLevel="0" collapsed="false">
      <c r="A157" s="8" t="s">
        <v>85</v>
      </c>
      <c r="B157" s="8" t="s">
        <v>68</v>
      </c>
      <c r="C157" s="8" t="s">
        <v>27</v>
      </c>
      <c r="D157" s="8" t="n">
        <v>2</v>
      </c>
      <c r="E157" s="8" t="n">
        <v>0</v>
      </c>
      <c r="F157" s="10" t="str">
        <f aca="false">IF(COUNTIFS(SCORES!$A$2:$A$2000,A157,SCORES!$B$2:$B$2000,B157,SCORES!$C$2:$C$2000,C157,SCORES!$D$2:$D$2000,"&gt;=0")&gt;0,SUMIFS(SCORES!$D$2:$D$2000,SCORES!$A$2:$A$2000,A157,SCORES!$B$2:$B$2000,B157,SCORES!$C$2:$C$2000,C157),"")</f>
        <v/>
      </c>
      <c r="G157" s="10" t="n">
        <f aca="false">IF(AND(ISNUMBER(F157),ISNUMBER(D157)),1,0)</f>
        <v>0</v>
      </c>
      <c r="H157" s="10" t="str">
        <f aca="false">IFERROR(INDEX(CHECKS!$F$2:$F$2000,MATCH(C157,CHECKS!$A$2:$A$2000,0))&amp;"","")</f>
        <v>W03</v>
      </c>
      <c r="I157" s="10" t="n">
        <f aca="false">IF(H157="","",IF(COUNTIFS(SCORES!$A$2:$A$2000,A157,SCORES!$B$2:$B$2000,B157,SCORES!$C$2:$C$2000,H157,SCORES!$D$2:$D$2000,"&gt;=0")&gt;0,SUMIFS(SCORES!$D$2:$D$2000,SCORES!$A$2:$A$2000,A157,SCORES!$B$2:$B$2000,B157,SCORES!$C$2:$C$2000,H157),""))</f>
        <v>3</v>
      </c>
      <c r="J157" s="10" t="n">
        <f aca="false">IF(AND(ISNUMBER(I157),ISNUMBER(E157)),1,0)</f>
        <v>1</v>
      </c>
    </row>
    <row r="158" customFormat="false" ht="15" hidden="false" customHeight="false" outlineLevel="0" collapsed="false">
      <c r="A158" s="5" t="s">
        <v>86</v>
      </c>
      <c r="B158" s="5" t="s">
        <v>68</v>
      </c>
      <c r="C158" s="5" t="s">
        <v>27</v>
      </c>
      <c r="D158" s="5" t="n">
        <v>1</v>
      </c>
      <c r="E158" s="5" t="n">
        <v>0</v>
      </c>
      <c r="F158" s="7" t="n">
        <f aca="false">IF(COUNTIFS(SCORES!$A$2:$A$2000,A158,SCORES!$B$2:$B$2000,B158,SCORES!$C$2:$C$2000,C158,SCORES!$D$2:$D$2000,"&gt;=0")&gt;0,SUMIFS(SCORES!$D$2:$D$2000,SCORES!$A$2:$A$2000,A158,SCORES!$B$2:$B$2000,B158,SCORES!$C$2:$C$2000,C158),"")</f>
        <v>0</v>
      </c>
      <c r="G158" s="7" t="n">
        <f aca="false">IF(AND(ISNUMBER(F158),ISNUMBER(D158)),1,0)</f>
        <v>1</v>
      </c>
      <c r="H158" s="7" t="str">
        <f aca="false">IFERROR(INDEX(CHECKS!$F$2:$F$2000,MATCH(C158,CHECKS!$A$2:$A$2000,0))&amp;"","")</f>
        <v>W03</v>
      </c>
      <c r="I158" s="7" t="n">
        <f aca="false">IF(H158="","",IF(COUNTIFS(SCORES!$A$2:$A$2000,A158,SCORES!$B$2:$B$2000,B158,SCORES!$C$2:$C$2000,H158,SCORES!$D$2:$D$2000,"&gt;=0")&gt;0,SUMIFS(SCORES!$D$2:$D$2000,SCORES!$A$2:$A$2000,A158,SCORES!$B$2:$B$2000,B158,SCORES!$C$2:$C$2000,H158),""))</f>
        <v>1</v>
      </c>
      <c r="J158" s="7" t="n">
        <f aca="false">IF(AND(ISNUMBER(I158),ISNUMBER(E158)),1,0)</f>
        <v>1</v>
      </c>
    </row>
    <row r="159" customFormat="false" ht="15" hidden="false" customHeight="false" outlineLevel="0" collapsed="false">
      <c r="A159" s="8" t="s">
        <v>87</v>
      </c>
      <c r="B159" s="8" t="s">
        <v>68</v>
      </c>
      <c r="C159" s="8" t="s">
        <v>27</v>
      </c>
      <c r="D159" s="8" t="n">
        <v>2</v>
      </c>
      <c r="E159" s="8" t="n">
        <v>1</v>
      </c>
      <c r="F159" s="10" t="n">
        <f aca="false">IF(COUNTIFS(SCORES!$A$2:$A$2000,A159,SCORES!$B$2:$B$2000,B159,SCORES!$C$2:$C$2000,C159,SCORES!$D$2:$D$2000,"&gt;=0")&gt;0,SUMIFS(SCORES!$D$2:$D$2000,SCORES!$A$2:$A$2000,A159,SCORES!$B$2:$B$2000,B159,SCORES!$C$2:$C$2000,C159),"")</f>
        <v>3</v>
      </c>
      <c r="G159" s="10" t="n">
        <f aca="false">IF(AND(ISNUMBER(F159),ISNUMBER(D159)),1,0)</f>
        <v>1</v>
      </c>
      <c r="H159" s="10" t="str">
        <f aca="false">IFERROR(INDEX(CHECKS!$F$2:$F$2000,MATCH(C159,CHECKS!$A$2:$A$2000,0))&amp;"","")</f>
        <v>W03</v>
      </c>
      <c r="I159" s="10" t="n">
        <f aca="false">IF(H159="","",IF(COUNTIFS(SCORES!$A$2:$A$2000,A159,SCORES!$B$2:$B$2000,B159,SCORES!$C$2:$C$2000,H159,SCORES!$D$2:$D$2000,"&gt;=0")&gt;0,SUMIFS(SCORES!$D$2:$D$2000,SCORES!$A$2:$A$2000,A159,SCORES!$B$2:$B$2000,B159,SCORES!$C$2:$C$2000,H159),""))</f>
        <v>4</v>
      </c>
      <c r="J159" s="10" t="n">
        <f aca="false">IF(AND(ISNUMBER(I159),ISNUMBER(E159)),1,0)</f>
        <v>1</v>
      </c>
    </row>
    <row r="160" customFormat="false" ht="15" hidden="false" customHeight="false" outlineLevel="0" collapsed="false">
      <c r="A160" s="5" t="s">
        <v>88</v>
      </c>
      <c r="B160" s="5" t="s">
        <v>68</v>
      </c>
      <c r="C160" s="5" t="s">
        <v>27</v>
      </c>
      <c r="D160" s="5" t="n">
        <v>1</v>
      </c>
      <c r="E160" s="5" t="n">
        <v>1</v>
      </c>
      <c r="F160" s="7" t="n">
        <f aca="false">IF(COUNTIFS(SCORES!$A$2:$A$2000,A160,SCORES!$B$2:$B$2000,B160,SCORES!$C$2:$C$2000,C160,SCORES!$D$2:$D$2000,"&gt;=0")&gt;0,SUMIFS(SCORES!$D$2:$D$2000,SCORES!$A$2:$A$2000,A160,SCORES!$B$2:$B$2000,B160,SCORES!$C$2:$C$2000,C160),"")</f>
        <v>2</v>
      </c>
      <c r="G160" s="7" t="n">
        <f aca="false">IF(AND(ISNUMBER(F160),ISNUMBER(D160)),1,0)</f>
        <v>1</v>
      </c>
      <c r="H160" s="7" t="str">
        <f aca="false">IFERROR(INDEX(CHECKS!$F$2:$F$2000,MATCH(C160,CHECKS!$A$2:$A$2000,0))&amp;"","")</f>
        <v>W03</v>
      </c>
      <c r="I160" s="7" t="n">
        <f aca="false">IF(H160="","",IF(COUNTIFS(SCORES!$A$2:$A$2000,A160,SCORES!$B$2:$B$2000,B160,SCORES!$C$2:$C$2000,H160,SCORES!$D$2:$D$2000,"&gt;=0")&gt;0,SUMIFS(SCORES!$D$2:$D$2000,SCORES!$A$2:$A$2000,A160,SCORES!$B$2:$B$2000,B160,SCORES!$C$2:$C$2000,H160),""))</f>
        <v>3</v>
      </c>
      <c r="J160" s="7" t="n">
        <f aca="false">IF(AND(ISNUMBER(I160),ISNUMBER(E160)),1,0)</f>
        <v>1</v>
      </c>
    </row>
    <row r="161" customFormat="false" ht="15" hidden="false" customHeight="false" outlineLevel="0" collapsed="false">
      <c r="A161" s="8" t="s">
        <v>90</v>
      </c>
      <c r="B161" s="8" t="s">
        <v>68</v>
      </c>
      <c r="C161" s="8" t="s">
        <v>27</v>
      </c>
      <c r="D161" s="8" t="n">
        <v>1</v>
      </c>
      <c r="E161" s="8" t="n">
        <v>2</v>
      </c>
      <c r="F161" s="10" t="n">
        <f aca="false">IF(COUNTIFS(SCORES!$A$2:$A$2000,A161,SCORES!$B$2:$B$2000,B161,SCORES!$C$2:$C$2000,C161,SCORES!$D$2:$D$2000,"&gt;=0")&gt;0,SUMIFS(SCORES!$D$2:$D$2000,SCORES!$A$2:$A$2000,A161,SCORES!$B$2:$B$2000,B161,SCORES!$C$2:$C$2000,C161),"")</f>
        <v>1</v>
      </c>
      <c r="G161" s="10" t="n">
        <f aca="false">IF(AND(ISNUMBER(F161),ISNUMBER(D161)),1,0)</f>
        <v>1</v>
      </c>
      <c r="H161" s="10" t="str">
        <f aca="false">IFERROR(INDEX(CHECKS!$F$2:$F$2000,MATCH(C161,CHECKS!$A$2:$A$2000,0))&amp;"","")</f>
        <v>W03</v>
      </c>
      <c r="I161" s="10" t="n">
        <f aca="false">IF(H161="","",IF(COUNTIFS(SCORES!$A$2:$A$2000,A161,SCORES!$B$2:$B$2000,B161,SCORES!$C$2:$C$2000,H161,SCORES!$D$2:$D$2000,"&gt;=0")&gt;0,SUMIFS(SCORES!$D$2:$D$2000,SCORES!$A$2:$A$2000,A161,SCORES!$B$2:$B$2000,B161,SCORES!$C$2:$C$2000,H161),""))</f>
        <v>4</v>
      </c>
      <c r="J161" s="10" t="n">
        <f aca="false">IF(AND(ISNUMBER(I161),ISNUMBER(E161)),1,0)</f>
        <v>1</v>
      </c>
    </row>
    <row r="162" customFormat="false" ht="15" hidden="false" customHeight="false" outlineLevel="0" collapsed="false">
      <c r="A162" s="5" t="s">
        <v>91</v>
      </c>
      <c r="B162" s="5" t="s">
        <v>68</v>
      </c>
      <c r="C162" s="5" t="s">
        <v>27</v>
      </c>
      <c r="D162" s="5" t="n">
        <v>2</v>
      </c>
      <c r="E162" s="5" t="n">
        <v>1</v>
      </c>
      <c r="F162" s="7" t="n">
        <f aca="false">IF(COUNTIFS(SCORES!$A$2:$A$2000,A162,SCORES!$B$2:$B$2000,B162,SCORES!$C$2:$C$2000,C162,SCORES!$D$2:$D$2000,"&gt;=0")&gt;0,SUMIFS(SCORES!$D$2:$D$2000,SCORES!$A$2:$A$2000,A162,SCORES!$B$2:$B$2000,B162,SCORES!$C$2:$C$2000,C162),"")</f>
        <v>2</v>
      </c>
      <c r="G162" s="7" t="n">
        <f aca="false">IF(AND(ISNUMBER(F162),ISNUMBER(D162)),1,0)</f>
        <v>1</v>
      </c>
      <c r="H162" s="7" t="str">
        <f aca="false">IFERROR(INDEX(CHECKS!$F$2:$F$2000,MATCH(C162,CHECKS!$A$2:$A$2000,0))&amp;"","")</f>
        <v>W03</v>
      </c>
      <c r="I162" s="7" t="n">
        <f aca="false">IF(H162="","",IF(COUNTIFS(SCORES!$A$2:$A$2000,A162,SCORES!$B$2:$B$2000,B162,SCORES!$C$2:$C$2000,H162,SCORES!$D$2:$D$2000,"&gt;=0")&gt;0,SUMIFS(SCORES!$D$2:$D$2000,SCORES!$A$2:$A$2000,A162,SCORES!$B$2:$B$2000,B162,SCORES!$C$2:$C$2000,H162),""))</f>
        <v>4</v>
      </c>
      <c r="J162" s="7" t="n">
        <f aca="false">IF(AND(ISNUMBER(I162),ISNUMBER(E162)),1,0)</f>
        <v>1</v>
      </c>
    </row>
    <row r="163" customFormat="false" ht="15" hidden="false" customHeight="false" outlineLevel="0" collapsed="false">
      <c r="A163" s="8" t="s">
        <v>93</v>
      </c>
      <c r="B163" s="8" t="s">
        <v>68</v>
      </c>
      <c r="C163" s="8" t="s">
        <v>27</v>
      </c>
      <c r="D163" s="8" t="n">
        <v>3</v>
      </c>
      <c r="E163" s="8" t="n">
        <v>1</v>
      </c>
      <c r="F163" s="10" t="n">
        <f aca="false">IF(COUNTIFS(SCORES!$A$2:$A$2000,A163,SCORES!$B$2:$B$2000,B163,SCORES!$C$2:$C$2000,C163,SCORES!$D$2:$D$2000,"&gt;=0")&gt;0,SUMIFS(SCORES!$D$2:$D$2000,SCORES!$A$2:$A$2000,A163,SCORES!$B$2:$B$2000,B163,SCORES!$C$2:$C$2000,C163),"")</f>
        <v>3</v>
      </c>
      <c r="G163" s="10" t="n">
        <f aca="false">IF(AND(ISNUMBER(F163),ISNUMBER(D163)),1,0)</f>
        <v>1</v>
      </c>
      <c r="H163" s="10" t="str">
        <f aca="false">IFERROR(INDEX(CHECKS!$F$2:$F$2000,MATCH(C163,CHECKS!$A$2:$A$2000,0))&amp;"","")</f>
        <v>W03</v>
      </c>
      <c r="I163" s="10" t="n">
        <f aca="false">IF(H163="","",IF(COUNTIFS(SCORES!$A$2:$A$2000,A163,SCORES!$B$2:$B$2000,B163,SCORES!$C$2:$C$2000,H163,SCORES!$D$2:$D$2000,"&gt;=0")&gt;0,SUMIFS(SCORES!$D$2:$D$2000,SCORES!$A$2:$A$2000,A163,SCORES!$B$2:$B$2000,B163,SCORES!$C$2:$C$2000,H163),""))</f>
        <v>3</v>
      </c>
      <c r="J163" s="10" t="n">
        <f aca="false">IF(AND(ISNUMBER(I163),ISNUMBER(E163)),1,0)</f>
        <v>1</v>
      </c>
    </row>
    <row r="164" customFormat="false" ht="15" hidden="false" customHeight="false" outlineLevel="0" collapsed="false">
      <c r="A164" s="5" t="s">
        <v>67</v>
      </c>
      <c r="B164" s="5" t="s">
        <v>94</v>
      </c>
      <c r="C164" s="5" t="s">
        <v>27</v>
      </c>
      <c r="D164" s="5" t="n">
        <v>0</v>
      </c>
      <c r="E164" s="5" t="n">
        <v>2</v>
      </c>
      <c r="F164" s="7" t="n">
        <f aca="false">IF(COUNTIFS(SCORES!$A$2:$A$2000,A164,SCORES!$B$2:$B$2000,B164,SCORES!$C$2:$C$2000,C164,SCORES!$D$2:$D$2000,"&gt;=0")&gt;0,SUMIFS(SCORES!$D$2:$D$2000,SCORES!$A$2:$A$2000,A164,SCORES!$B$2:$B$2000,B164,SCORES!$C$2:$C$2000,C164),"")</f>
        <v>5</v>
      </c>
      <c r="G164" s="7" t="n">
        <f aca="false">IF(AND(ISNUMBER(F164),ISNUMBER(D164)),1,0)</f>
        <v>1</v>
      </c>
      <c r="H164" s="7" t="str">
        <f aca="false">IFERROR(INDEX(CHECKS!$F$2:$F$2000,MATCH(C164,CHECKS!$A$2:$A$2000,0))&amp;"","")</f>
        <v>W03</v>
      </c>
      <c r="I164" s="7" t="n">
        <f aca="false">IF(H164="","",IF(COUNTIFS(SCORES!$A$2:$A$2000,A164,SCORES!$B$2:$B$2000,B164,SCORES!$C$2:$C$2000,H164,SCORES!$D$2:$D$2000,"&gt;=0")&gt;0,SUMIFS(SCORES!$D$2:$D$2000,SCORES!$A$2:$A$2000,A164,SCORES!$B$2:$B$2000,B164,SCORES!$C$2:$C$2000,H164),""))</f>
        <v>5</v>
      </c>
      <c r="J164" s="7" t="n">
        <f aca="false">IF(AND(ISNUMBER(I164),ISNUMBER(E164)),1,0)</f>
        <v>1</v>
      </c>
    </row>
    <row r="165" customFormat="false" ht="15" hidden="false" customHeight="false" outlineLevel="0" collapsed="false">
      <c r="A165" s="8" t="s">
        <v>69</v>
      </c>
      <c r="B165" s="8" t="s">
        <v>94</v>
      </c>
      <c r="C165" s="8" t="s">
        <v>27</v>
      </c>
      <c r="D165" s="8" t="n">
        <v>2</v>
      </c>
      <c r="E165" s="8" t="n">
        <v>2</v>
      </c>
      <c r="F165" s="10" t="n">
        <f aca="false">IF(COUNTIFS(SCORES!$A$2:$A$2000,A165,SCORES!$B$2:$B$2000,B165,SCORES!$C$2:$C$2000,C165,SCORES!$D$2:$D$2000,"&gt;=0")&gt;0,SUMIFS(SCORES!$D$2:$D$2000,SCORES!$A$2:$A$2000,A165,SCORES!$B$2:$B$2000,B165,SCORES!$C$2:$C$2000,C165),"")</f>
        <v>2</v>
      </c>
      <c r="G165" s="10" t="n">
        <f aca="false">IF(AND(ISNUMBER(F165),ISNUMBER(D165)),1,0)</f>
        <v>1</v>
      </c>
      <c r="H165" s="10" t="str">
        <f aca="false">IFERROR(INDEX(CHECKS!$F$2:$F$2000,MATCH(C165,CHECKS!$A$2:$A$2000,0))&amp;"","")</f>
        <v>W03</v>
      </c>
      <c r="I165" s="10" t="n">
        <f aca="false">IF(H165="","",IF(COUNTIFS(SCORES!$A$2:$A$2000,A165,SCORES!$B$2:$B$2000,B165,SCORES!$C$2:$C$2000,H165,SCORES!$D$2:$D$2000,"&gt;=0")&gt;0,SUMIFS(SCORES!$D$2:$D$2000,SCORES!$A$2:$A$2000,A165,SCORES!$B$2:$B$2000,B165,SCORES!$C$2:$C$2000,H165),""))</f>
        <v>3</v>
      </c>
      <c r="J165" s="10" t="n">
        <f aca="false">IF(AND(ISNUMBER(I165),ISNUMBER(E165)),1,0)</f>
        <v>1</v>
      </c>
    </row>
    <row r="166" customFormat="false" ht="15" hidden="false" customHeight="false" outlineLevel="0" collapsed="false">
      <c r="A166" s="5" t="s">
        <v>71</v>
      </c>
      <c r="B166" s="5" t="s">
        <v>94</v>
      </c>
      <c r="C166" s="5" t="s">
        <v>27</v>
      </c>
      <c r="D166" s="5" t="n">
        <v>3</v>
      </c>
      <c r="E166" s="5" t="n">
        <v>2</v>
      </c>
      <c r="F166" s="7" t="n">
        <f aca="false">IF(COUNTIFS(SCORES!$A$2:$A$2000,A166,SCORES!$B$2:$B$2000,B166,SCORES!$C$2:$C$2000,C166,SCORES!$D$2:$D$2000,"&gt;=0")&gt;0,SUMIFS(SCORES!$D$2:$D$2000,SCORES!$A$2:$A$2000,A166,SCORES!$B$2:$B$2000,B166,SCORES!$C$2:$C$2000,C166),"")</f>
        <v>4</v>
      </c>
      <c r="G166" s="7" t="n">
        <f aca="false">IF(AND(ISNUMBER(F166),ISNUMBER(D166)),1,0)</f>
        <v>1</v>
      </c>
      <c r="H166" s="7" t="str">
        <f aca="false">IFERROR(INDEX(CHECKS!$F$2:$F$2000,MATCH(C166,CHECKS!$A$2:$A$2000,0))&amp;"","")</f>
        <v>W03</v>
      </c>
      <c r="I166" s="7" t="n">
        <f aca="false">IF(H166="","",IF(COUNTIFS(SCORES!$A$2:$A$2000,A166,SCORES!$B$2:$B$2000,B166,SCORES!$C$2:$C$2000,H166,SCORES!$D$2:$D$2000,"&gt;=0")&gt;0,SUMIFS(SCORES!$D$2:$D$2000,SCORES!$A$2:$A$2000,A166,SCORES!$B$2:$B$2000,B166,SCORES!$C$2:$C$2000,H166),""))</f>
        <v>5</v>
      </c>
      <c r="J166" s="7" t="n">
        <f aca="false">IF(AND(ISNUMBER(I166),ISNUMBER(E166)),1,0)</f>
        <v>1</v>
      </c>
    </row>
    <row r="167" customFormat="false" ht="15" hidden="false" customHeight="false" outlineLevel="0" collapsed="false">
      <c r="A167" s="8" t="s">
        <v>72</v>
      </c>
      <c r="B167" s="8" t="s">
        <v>94</v>
      </c>
      <c r="C167" s="8" t="s">
        <v>27</v>
      </c>
      <c r="D167" s="8" t="n">
        <v>0</v>
      </c>
      <c r="E167" s="8" t="n">
        <v>2</v>
      </c>
      <c r="F167" s="10" t="n">
        <f aca="false">IF(COUNTIFS(SCORES!$A$2:$A$2000,A167,SCORES!$B$2:$B$2000,B167,SCORES!$C$2:$C$2000,C167,SCORES!$D$2:$D$2000,"&gt;=0")&gt;0,SUMIFS(SCORES!$D$2:$D$2000,SCORES!$A$2:$A$2000,A167,SCORES!$B$2:$B$2000,B167,SCORES!$C$2:$C$2000,C167),"")</f>
        <v>2</v>
      </c>
      <c r="G167" s="10" t="n">
        <f aca="false">IF(AND(ISNUMBER(F167),ISNUMBER(D167)),1,0)</f>
        <v>1</v>
      </c>
      <c r="H167" s="10" t="str">
        <f aca="false">IFERROR(INDEX(CHECKS!$F$2:$F$2000,MATCH(C167,CHECKS!$A$2:$A$2000,0))&amp;"","")</f>
        <v>W03</v>
      </c>
      <c r="I167" s="10" t="n">
        <f aca="false">IF(H167="","",IF(COUNTIFS(SCORES!$A$2:$A$2000,A167,SCORES!$B$2:$B$2000,B167,SCORES!$C$2:$C$2000,H167,SCORES!$D$2:$D$2000,"&gt;=0")&gt;0,SUMIFS(SCORES!$D$2:$D$2000,SCORES!$A$2:$A$2000,A167,SCORES!$B$2:$B$2000,B167,SCORES!$C$2:$C$2000,H167),""))</f>
        <v>3</v>
      </c>
      <c r="J167" s="10" t="n">
        <f aca="false">IF(AND(ISNUMBER(I167),ISNUMBER(E167)),1,0)</f>
        <v>1</v>
      </c>
    </row>
    <row r="168" customFormat="false" ht="15" hidden="false" customHeight="false" outlineLevel="0" collapsed="false">
      <c r="A168" s="5" t="s">
        <v>74</v>
      </c>
      <c r="B168" s="5" t="s">
        <v>94</v>
      </c>
      <c r="C168" s="5" t="s">
        <v>27</v>
      </c>
      <c r="D168" s="5" t="n">
        <v>3</v>
      </c>
      <c r="E168" s="5" t="n">
        <v>1</v>
      </c>
      <c r="F168" s="7" t="n">
        <f aca="false">IF(COUNTIFS(SCORES!$A$2:$A$2000,A168,SCORES!$B$2:$B$2000,B168,SCORES!$C$2:$C$2000,C168,SCORES!$D$2:$D$2000,"&gt;=0")&gt;0,SUMIFS(SCORES!$D$2:$D$2000,SCORES!$A$2:$A$2000,A168,SCORES!$B$2:$B$2000,B168,SCORES!$C$2:$C$2000,C168),"")</f>
        <v>2</v>
      </c>
      <c r="G168" s="7" t="n">
        <f aca="false">IF(AND(ISNUMBER(F168),ISNUMBER(D168)),1,0)</f>
        <v>1</v>
      </c>
      <c r="H168" s="7" t="str">
        <f aca="false">IFERROR(INDEX(CHECKS!$F$2:$F$2000,MATCH(C168,CHECKS!$A$2:$A$2000,0))&amp;"","")</f>
        <v>W03</v>
      </c>
      <c r="I168" s="7" t="n">
        <f aca="false">IF(H168="","",IF(COUNTIFS(SCORES!$A$2:$A$2000,A168,SCORES!$B$2:$B$2000,B168,SCORES!$C$2:$C$2000,H168,SCORES!$D$2:$D$2000,"&gt;=0")&gt;0,SUMIFS(SCORES!$D$2:$D$2000,SCORES!$A$2:$A$2000,A168,SCORES!$B$2:$B$2000,B168,SCORES!$C$2:$C$2000,H168),""))</f>
        <v>3</v>
      </c>
      <c r="J168" s="7" t="n">
        <f aca="false">IF(AND(ISNUMBER(I168),ISNUMBER(E168)),1,0)</f>
        <v>1</v>
      </c>
    </row>
    <row r="169" customFormat="false" ht="15" hidden="false" customHeight="false" outlineLevel="0" collapsed="false">
      <c r="A169" s="8" t="s">
        <v>75</v>
      </c>
      <c r="B169" s="8" t="s">
        <v>94</v>
      </c>
      <c r="C169" s="8" t="s">
        <v>27</v>
      </c>
      <c r="D169" s="8" t="n">
        <v>2</v>
      </c>
      <c r="E169" s="8" t="n">
        <v>2</v>
      </c>
      <c r="F169" s="10" t="n">
        <f aca="false">IF(COUNTIFS(SCORES!$A$2:$A$2000,A169,SCORES!$B$2:$B$2000,B169,SCORES!$C$2:$C$2000,C169,SCORES!$D$2:$D$2000,"&gt;=0")&gt;0,SUMIFS(SCORES!$D$2:$D$2000,SCORES!$A$2:$A$2000,A169,SCORES!$B$2:$B$2000,B169,SCORES!$C$2:$C$2000,C169),"")</f>
        <v>3</v>
      </c>
      <c r="G169" s="10" t="n">
        <f aca="false">IF(AND(ISNUMBER(F169),ISNUMBER(D169)),1,0)</f>
        <v>1</v>
      </c>
      <c r="H169" s="10" t="str">
        <f aca="false">IFERROR(INDEX(CHECKS!$F$2:$F$2000,MATCH(C169,CHECKS!$A$2:$A$2000,0))&amp;"","")</f>
        <v>W03</v>
      </c>
      <c r="I169" s="10" t="n">
        <f aca="false">IF(H169="","",IF(COUNTIFS(SCORES!$A$2:$A$2000,A169,SCORES!$B$2:$B$2000,B169,SCORES!$C$2:$C$2000,H169,SCORES!$D$2:$D$2000,"&gt;=0")&gt;0,SUMIFS(SCORES!$D$2:$D$2000,SCORES!$A$2:$A$2000,A169,SCORES!$B$2:$B$2000,B169,SCORES!$C$2:$C$2000,H169),""))</f>
        <v>3</v>
      </c>
      <c r="J169" s="10" t="n">
        <f aca="false">IF(AND(ISNUMBER(I169),ISNUMBER(E169)),1,0)</f>
        <v>1</v>
      </c>
    </row>
    <row r="170" customFormat="false" ht="15" hidden="false" customHeight="false" outlineLevel="0" collapsed="false">
      <c r="A170" s="5" t="s">
        <v>76</v>
      </c>
      <c r="B170" s="5" t="s">
        <v>94</v>
      </c>
      <c r="C170" s="5" t="s">
        <v>27</v>
      </c>
      <c r="D170" s="5" t="n">
        <v>3</v>
      </c>
      <c r="E170" s="5" t="n">
        <v>1</v>
      </c>
      <c r="F170" s="7" t="n">
        <f aca="false">IF(COUNTIFS(SCORES!$A$2:$A$2000,A170,SCORES!$B$2:$B$2000,B170,SCORES!$C$2:$C$2000,C170,SCORES!$D$2:$D$2000,"&gt;=0")&gt;0,SUMIFS(SCORES!$D$2:$D$2000,SCORES!$A$2:$A$2000,A170,SCORES!$B$2:$B$2000,B170,SCORES!$C$2:$C$2000,C170),"")</f>
        <v>1</v>
      </c>
      <c r="G170" s="7" t="n">
        <f aca="false">IF(AND(ISNUMBER(F170),ISNUMBER(D170)),1,0)</f>
        <v>1</v>
      </c>
      <c r="H170" s="7" t="str">
        <f aca="false">IFERROR(INDEX(CHECKS!$F$2:$F$2000,MATCH(C170,CHECKS!$A$2:$A$2000,0))&amp;"","")</f>
        <v>W03</v>
      </c>
      <c r="I170" s="7" t="str">
        <f aca="false">IF(H170="","",IF(COUNTIFS(SCORES!$A$2:$A$2000,A170,SCORES!$B$2:$B$2000,B170,SCORES!$C$2:$C$2000,H170,SCORES!$D$2:$D$2000,"&gt;=0")&gt;0,SUMIFS(SCORES!$D$2:$D$2000,SCORES!$A$2:$A$2000,A170,SCORES!$B$2:$B$2000,B170,SCORES!$C$2:$C$2000,H170),""))</f>
        <v/>
      </c>
      <c r="J170" s="7" t="n">
        <f aca="false">IF(AND(ISNUMBER(I170),ISNUMBER(E170)),1,0)</f>
        <v>0</v>
      </c>
    </row>
    <row r="171" customFormat="false" ht="15" hidden="false" customHeight="false" outlineLevel="0" collapsed="false">
      <c r="A171" s="8" t="s">
        <v>77</v>
      </c>
      <c r="B171" s="8" t="s">
        <v>94</v>
      </c>
      <c r="C171" s="8" t="s">
        <v>27</v>
      </c>
      <c r="D171" s="8" t="n">
        <v>1</v>
      </c>
      <c r="E171" s="8" t="n">
        <v>1</v>
      </c>
      <c r="F171" s="10" t="n">
        <f aca="false">IF(COUNTIFS(SCORES!$A$2:$A$2000,A171,SCORES!$B$2:$B$2000,B171,SCORES!$C$2:$C$2000,C171,SCORES!$D$2:$D$2000,"&gt;=0")&gt;0,SUMIFS(SCORES!$D$2:$D$2000,SCORES!$A$2:$A$2000,A171,SCORES!$B$2:$B$2000,B171,SCORES!$C$2:$C$2000,C171),"")</f>
        <v>4</v>
      </c>
      <c r="G171" s="10" t="n">
        <f aca="false">IF(AND(ISNUMBER(F171),ISNUMBER(D171)),1,0)</f>
        <v>1</v>
      </c>
      <c r="H171" s="10" t="str">
        <f aca="false">IFERROR(INDEX(CHECKS!$F$2:$F$2000,MATCH(C171,CHECKS!$A$2:$A$2000,0))&amp;"","")</f>
        <v>W03</v>
      </c>
      <c r="I171" s="10" t="n">
        <f aca="false">IF(H171="","",IF(COUNTIFS(SCORES!$A$2:$A$2000,A171,SCORES!$B$2:$B$2000,B171,SCORES!$C$2:$C$2000,H171,SCORES!$D$2:$D$2000,"&gt;=0")&gt;0,SUMIFS(SCORES!$D$2:$D$2000,SCORES!$A$2:$A$2000,A171,SCORES!$B$2:$B$2000,B171,SCORES!$C$2:$C$2000,H171),""))</f>
        <v>2</v>
      </c>
      <c r="J171" s="10" t="n">
        <f aca="false">IF(AND(ISNUMBER(I171),ISNUMBER(E171)),1,0)</f>
        <v>1</v>
      </c>
    </row>
    <row r="172" customFormat="false" ht="15" hidden="false" customHeight="false" outlineLevel="0" collapsed="false">
      <c r="A172" s="5" t="s">
        <v>78</v>
      </c>
      <c r="B172" s="5" t="s">
        <v>94</v>
      </c>
      <c r="C172" s="5" t="s">
        <v>27</v>
      </c>
      <c r="D172" s="5" t="n">
        <v>2</v>
      </c>
      <c r="E172" s="5" t="n">
        <v>2</v>
      </c>
      <c r="F172" s="7" t="n">
        <f aca="false">IF(COUNTIFS(SCORES!$A$2:$A$2000,A172,SCORES!$B$2:$B$2000,B172,SCORES!$C$2:$C$2000,C172,SCORES!$D$2:$D$2000,"&gt;=0")&gt;0,SUMIFS(SCORES!$D$2:$D$2000,SCORES!$A$2:$A$2000,A172,SCORES!$B$2:$B$2000,B172,SCORES!$C$2:$C$2000,C172),"")</f>
        <v>2</v>
      </c>
      <c r="G172" s="7" t="n">
        <f aca="false">IF(AND(ISNUMBER(F172),ISNUMBER(D172)),1,0)</f>
        <v>1</v>
      </c>
      <c r="H172" s="7" t="str">
        <f aca="false">IFERROR(INDEX(CHECKS!$F$2:$F$2000,MATCH(C172,CHECKS!$A$2:$A$2000,0))&amp;"","")</f>
        <v>W03</v>
      </c>
      <c r="I172" s="7" t="n">
        <f aca="false">IF(H172="","",IF(COUNTIFS(SCORES!$A$2:$A$2000,A172,SCORES!$B$2:$B$2000,B172,SCORES!$C$2:$C$2000,H172,SCORES!$D$2:$D$2000,"&gt;=0")&gt;0,SUMIFS(SCORES!$D$2:$D$2000,SCORES!$A$2:$A$2000,A172,SCORES!$B$2:$B$2000,B172,SCORES!$C$2:$C$2000,H172),""))</f>
        <v>3</v>
      </c>
      <c r="J172" s="7" t="n">
        <f aca="false">IF(AND(ISNUMBER(I172),ISNUMBER(E172)),1,0)</f>
        <v>1</v>
      </c>
    </row>
    <row r="173" customFormat="false" ht="15" hidden="false" customHeight="false" outlineLevel="0" collapsed="false">
      <c r="A173" s="8" t="s">
        <v>79</v>
      </c>
      <c r="B173" s="8" t="s">
        <v>94</v>
      </c>
      <c r="C173" s="8" t="s">
        <v>27</v>
      </c>
      <c r="D173" s="8" t="n">
        <v>3</v>
      </c>
      <c r="E173" s="8" t="n">
        <v>1</v>
      </c>
      <c r="F173" s="10" t="n">
        <f aca="false">IF(COUNTIFS(SCORES!$A$2:$A$2000,A173,SCORES!$B$2:$B$2000,B173,SCORES!$C$2:$C$2000,C173,SCORES!$D$2:$D$2000,"&gt;=0")&gt;0,SUMIFS(SCORES!$D$2:$D$2000,SCORES!$A$2:$A$2000,A173,SCORES!$B$2:$B$2000,B173,SCORES!$C$2:$C$2000,C173),"")</f>
        <v>4</v>
      </c>
      <c r="G173" s="10" t="n">
        <f aca="false">IF(AND(ISNUMBER(F173),ISNUMBER(D173)),1,0)</f>
        <v>1</v>
      </c>
      <c r="H173" s="10" t="str">
        <f aca="false">IFERROR(INDEX(CHECKS!$F$2:$F$2000,MATCH(C173,CHECKS!$A$2:$A$2000,0))&amp;"","")</f>
        <v>W03</v>
      </c>
      <c r="I173" s="10" t="n">
        <f aca="false">IF(H173="","",IF(COUNTIFS(SCORES!$A$2:$A$2000,A173,SCORES!$B$2:$B$2000,B173,SCORES!$C$2:$C$2000,H173,SCORES!$D$2:$D$2000,"&gt;=0")&gt;0,SUMIFS(SCORES!$D$2:$D$2000,SCORES!$A$2:$A$2000,A173,SCORES!$B$2:$B$2000,B173,SCORES!$C$2:$C$2000,H173),""))</f>
        <v>1</v>
      </c>
      <c r="J173" s="10" t="n">
        <f aca="false">IF(AND(ISNUMBER(I173),ISNUMBER(E173)),1,0)</f>
        <v>1</v>
      </c>
    </row>
    <row r="174" customFormat="false" ht="15" hidden="false" customHeight="false" outlineLevel="0" collapsed="false">
      <c r="A174" s="5" t="s">
        <v>80</v>
      </c>
      <c r="B174" s="5" t="s">
        <v>94</v>
      </c>
      <c r="C174" s="5" t="s">
        <v>27</v>
      </c>
      <c r="D174" s="5" t="n">
        <v>1</v>
      </c>
      <c r="E174" s="5" t="n">
        <v>2</v>
      </c>
      <c r="F174" s="7" t="n">
        <f aca="false">IF(COUNTIFS(SCORES!$A$2:$A$2000,A174,SCORES!$B$2:$B$2000,B174,SCORES!$C$2:$C$2000,C174,SCORES!$D$2:$D$2000,"&gt;=0")&gt;0,SUMIFS(SCORES!$D$2:$D$2000,SCORES!$A$2:$A$2000,A174,SCORES!$B$2:$B$2000,B174,SCORES!$C$2:$C$2000,C174),"")</f>
        <v>2</v>
      </c>
      <c r="G174" s="7" t="n">
        <f aca="false">IF(AND(ISNUMBER(F174),ISNUMBER(D174)),1,0)</f>
        <v>1</v>
      </c>
      <c r="H174" s="7" t="str">
        <f aca="false">IFERROR(INDEX(CHECKS!$F$2:$F$2000,MATCH(C174,CHECKS!$A$2:$A$2000,0))&amp;"","")</f>
        <v>W03</v>
      </c>
      <c r="I174" s="7" t="n">
        <f aca="false">IF(H174="","",IF(COUNTIFS(SCORES!$A$2:$A$2000,A174,SCORES!$B$2:$B$2000,B174,SCORES!$C$2:$C$2000,H174,SCORES!$D$2:$D$2000,"&gt;=0")&gt;0,SUMIFS(SCORES!$D$2:$D$2000,SCORES!$A$2:$A$2000,A174,SCORES!$B$2:$B$2000,B174,SCORES!$C$2:$C$2000,H174),""))</f>
        <v>3</v>
      </c>
      <c r="J174" s="7" t="n">
        <f aca="false">IF(AND(ISNUMBER(I174),ISNUMBER(E174)),1,0)</f>
        <v>1</v>
      </c>
    </row>
    <row r="175" customFormat="false" ht="15" hidden="false" customHeight="false" outlineLevel="0" collapsed="false">
      <c r="A175" s="8" t="s">
        <v>81</v>
      </c>
      <c r="B175" s="8" t="s">
        <v>94</v>
      </c>
      <c r="C175" s="8" t="s">
        <v>27</v>
      </c>
      <c r="D175" s="8" t="n">
        <v>2</v>
      </c>
      <c r="E175" s="8" t="n">
        <v>2</v>
      </c>
      <c r="F175" s="10" t="n">
        <f aca="false">IF(COUNTIFS(SCORES!$A$2:$A$2000,A175,SCORES!$B$2:$B$2000,B175,SCORES!$C$2:$C$2000,C175,SCORES!$D$2:$D$2000,"&gt;=0")&gt;0,SUMIFS(SCORES!$D$2:$D$2000,SCORES!$A$2:$A$2000,A175,SCORES!$B$2:$B$2000,B175,SCORES!$C$2:$C$2000,C175),"")</f>
        <v>0</v>
      </c>
      <c r="G175" s="10" t="n">
        <f aca="false">IF(AND(ISNUMBER(F175),ISNUMBER(D175)),1,0)</f>
        <v>1</v>
      </c>
      <c r="H175" s="10" t="str">
        <f aca="false">IFERROR(INDEX(CHECKS!$F$2:$F$2000,MATCH(C175,CHECKS!$A$2:$A$2000,0))&amp;"","")</f>
        <v>W03</v>
      </c>
      <c r="I175" s="10" t="n">
        <f aca="false">IF(H175="","",IF(COUNTIFS(SCORES!$A$2:$A$2000,A175,SCORES!$B$2:$B$2000,B175,SCORES!$C$2:$C$2000,H175,SCORES!$D$2:$D$2000,"&gt;=0")&gt;0,SUMIFS(SCORES!$D$2:$D$2000,SCORES!$A$2:$A$2000,A175,SCORES!$B$2:$B$2000,B175,SCORES!$C$2:$C$2000,H175),""))</f>
        <v>4</v>
      </c>
      <c r="J175" s="10" t="n">
        <f aca="false">IF(AND(ISNUMBER(I175),ISNUMBER(E175)),1,0)</f>
        <v>1</v>
      </c>
    </row>
    <row r="176" customFormat="false" ht="15" hidden="false" customHeight="false" outlineLevel="0" collapsed="false">
      <c r="A176" s="5" t="s">
        <v>82</v>
      </c>
      <c r="B176" s="5" t="s">
        <v>94</v>
      </c>
      <c r="C176" s="5" t="s">
        <v>27</v>
      </c>
      <c r="D176" s="5" t="n">
        <v>1</v>
      </c>
      <c r="E176" s="5" t="n">
        <v>1</v>
      </c>
      <c r="F176" s="7" t="n">
        <f aca="false">IF(COUNTIFS(SCORES!$A$2:$A$2000,A176,SCORES!$B$2:$B$2000,B176,SCORES!$C$2:$C$2000,C176,SCORES!$D$2:$D$2000,"&gt;=0")&gt;0,SUMIFS(SCORES!$D$2:$D$2000,SCORES!$A$2:$A$2000,A176,SCORES!$B$2:$B$2000,B176,SCORES!$C$2:$C$2000,C176),"")</f>
        <v>2</v>
      </c>
      <c r="G176" s="7" t="n">
        <f aca="false">IF(AND(ISNUMBER(F176),ISNUMBER(D176)),1,0)</f>
        <v>1</v>
      </c>
      <c r="H176" s="7" t="str">
        <f aca="false">IFERROR(INDEX(CHECKS!$F$2:$F$2000,MATCH(C176,CHECKS!$A$2:$A$2000,0))&amp;"","")</f>
        <v>W03</v>
      </c>
      <c r="I176" s="7" t="n">
        <f aca="false">IF(H176="","",IF(COUNTIFS(SCORES!$A$2:$A$2000,A176,SCORES!$B$2:$B$2000,B176,SCORES!$C$2:$C$2000,H176,SCORES!$D$2:$D$2000,"&gt;=0")&gt;0,SUMIFS(SCORES!$D$2:$D$2000,SCORES!$A$2:$A$2000,A176,SCORES!$B$2:$B$2000,B176,SCORES!$C$2:$C$2000,H176),""))</f>
        <v>2</v>
      </c>
      <c r="J176" s="7" t="n">
        <f aca="false">IF(AND(ISNUMBER(I176),ISNUMBER(E176)),1,0)</f>
        <v>1</v>
      </c>
    </row>
    <row r="177" customFormat="false" ht="15" hidden="false" customHeight="false" outlineLevel="0" collapsed="false">
      <c r="A177" s="8" t="s">
        <v>83</v>
      </c>
      <c r="B177" s="8" t="s">
        <v>94</v>
      </c>
      <c r="C177" s="8" t="s">
        <v>27</v>
      </c>
      <c r="D177" s="8" t="n">
        <v>3</v>
      </c>
      <c r="E177" s="8" t="n">
        <v>2</v>
      </c>
      <c r="F177" s="10" t="n">
        <f aca="false">IF(COUNTIFS(SCORES!$A$2:$A$2000,A177,SCORES!$B$2:$B$2000,B177,SCORES!$C$2:$C$2000,C177,SCORES!$D$2:$D$2000,"&gt;=0")&gt;0,SUMIFS(SCORES!$D$2:$D$2000,SCORES!$A$2:$A$2000,A177,SCORES!$B$2:$B$2000,B177,SCORES!$C$2:$C$2000,C177),"")</f>
        <v>3</v>
      </c>
      <c r="G177" s="10" t="n">
        <f aca="false">IF(AND(ISNUMBER(F177),ISNUMBER(D177)),1,0)</f>
        <v>1</v>
      </c>
      <c r="H177" s="10" t="str">
        <f aca="false">IFERROR(INDEX(CHECKS!$F$2:$F$2000,MATCH(C177,CHECKS!$A$2:$A$2000,0))&amp;"","")</f>
        <v>W03</v>
      </c>
      <c r="I177" s="10" t="n">
        <f aca="false">IF(H177="","",IF(COUNTIFS(SCORES!$A$2:$A$2000,A177,SCORES!$B$2:$B$2000,B177,SCORES!$C$2:$C$2000,H177,SCORES!$D$2:$D$2000,"&gt;=0")&gt;0,SUMIFS(SCORES!$D$2:$D$2000,SCORES!$A$2:$A$2000,A177,SCORES!$B$2:$B$2000,B177,SCORES!$C$2:$C$2000,H177),""))</f>
        <v>5</v>
      </c>
      <c r="J177" s="10" t="n">
        <f aca="false">IF(AND(ISNUMBER(I177),ISNUMBER(E177)),1,0)</f>
        <v>1</v>
      </c>
    </row>
    <row r="178" customFormat="false" ht="15" hidden="false" customHeight="false" outlineLevel="0" collapsed="false">
      <c r="A178" s="5" t="s">
        <v>84</v>
      </c>
      <c r="B178" s="5" t="s">
        <v>94</v>
      </c>
      <c r="C178" s="5" t="s">
        <v>27</v>
      </c>
      <c r="D178" s="5" t="n">
        <v>2</v>
      </c>
      <c r="E178" s="5" t="n">
        <v>1</v>
      </c>
      <c r="F178" s="7" t="n">
        <f aca="false">IF(COUNTIFS(SCORES!$A$2:$A$2000,A178,SCORES!$B$2:$B$2000,B178,SCORES!$C$2:$C$2000,C178,SCORES!$D$2:$D$2000,"&gt;=0")&gt;0,SUMIFS(SCORES!$D$2:$D$2000,SCORES!$A$2:$A$2000,A178,SCORES!$B$2:$B$2000,B178,SCORES!$C$2:$C$2000,C178),"")</f>
        <v>1</v>
      </c>
      <c r="G178" s="7" t="n">
        <f aca="false">IF(AND(ISNUMBER(F178),ISNUMBER(D178)),1,0)</f>
        <v>1</v>
      </c>
      <c r="H178" s="7" t="str">
        <f aca="false">IFERROR(INDEX(CHECKS!$F$2:$F$2000,MATCH(C178,CHECKS!$A$2:$A$2000,0))&amp;"","")</f>
        <v>W03</v>
      </c>
      <c r="I178" s="7" t="n">
        <f aca="false">IF(H178="","",IF(COUNTIFS(SCORES!$A$2:$A$2000,A178,SCORES!$B$2:$B$2000,B178,SCORES!$C$2:$C$2000,H178,SCORES!$D$2:$D$2000,"&gt;=0")&gt;0,SUMIFS(SCORES!$D$2:$D$2000,SCORES!$A$2:$A$2000,A178,SCORES!$B$2:$B$2000,B178,SCORES!$C$2:$C$2000,H178),""))</f>
        <v>0</v>
      </c>
      <c r="J178" s="7" t="n">
        <f aca="false">IF(AND(ISNUMBER(I178),ISNUMBER(E178)),1,0)</f>
        <v>1</v>
      </c>
    </row>
    <row r="179" customFormat="false" ht="15" hidden="false" customHeight="false" outlineLevel="0" collapsed="false">
      <c r="A179" s="8" t="s">
        <v>85</v>
      </c>
      <c r="B179" s="8" t="s">
        <v>94</v>
      </c>
      <c r="C179" s="8" t="s">
        <v>27</v>
      </c>
      <c r="D179" s="8" t="n">
        <v>2</v>
      </c>
      <c r="E179" s="8" t="n">
        <v>0</v>
      </c>
      <c r="F179" s="10" t="n">
        <f aca="false">IF(COUNTIFS(SCORES!$A$2:$A$2000,A179,SCORES!$B$2:$B$2000,B179,SCORES!$C$2:$C$2000,C179,SCORES!$D$2:$D$2000,"&gt;=0")&gt;0,SUMIFS(SCORES!$D$2:$D$2000,SCORES!$A$2:$A$2000,A179,SCORES!$B$2:$B$2000,B179,SCORES!$C$2:$C$2000,C179),"")</f>
        <v>3</v>
      </c>
      <c r="G179" s="10" t="n">
        <f aca="false">IF(AND(ISNUMBER(F179),ISNUMBER(D179)),1,0)</f>
        <v>1</v>
      </c>
      <c r="H179" s="10" t="str">
        <f aca="false">IFERROR(INDEX(CHECKS!$F$2:$F$2000,MATCH(C179,CHECKS!$A$2:$A$2000,0))&amp;"","")</f>
        <v>W03</v>
      </c>
      <c r="I179" s="10" t="n">
        <f aca="false">IF(H179="","",IF(COUNTIFS(SCORES!$A$2:$A$2000,A179,SCORES!$B$2:$B$2000,B179,SCORES!$C$2:$C$2000,H179,SCORES!$D$2:$D$2000,"&gt;=0")&gt;0,SUMIFS(SCORES!$D$2:$D$2000,SCORES!$A$2:$A$2000,A179,SCORES!$B$2:$B$2000,B179,SCORES!$C$2:$C$2000,H179),""))</f>
        <v>3</v>
      </c>
      <c r="J179" s="10" t="n">
        <f aca="false">IF(AND(ISNUMBER(I179),ISNUMBER(E179)),1,0)</f>
        <v>1</v>
      </c>
    </row>
    <row r="180" customFormat="false" ht="15" hidden="false" customHeight="false" outlineLevel="0" collapsed="false">
      <c r="A180" s="5" t="s">
        <v>86</v>
      </c>
      <c r="B180" s="5" t="s">
        <v>94</v>
      </c>
      <c r="C180" s="5" t="s">
        <v>27</v>
      </c>
      <c r="D180" s="5" t="n">
        <v>3</v>
      </c>
      <c r="E180" s="5" t="n">
        <v>2</v>
      </c>
      <c r="F180" s="7" t="n">
        <f aca="false">IF(COUNTIFS(SCORES!$A$2:$A$2000,A180,SCORES!$B$2:$B$2000,B180,SCORES!$C$2:$C$2000,C180,SCORES!$D$2:$D$2000,"&gt;=0")&gt;0,SUMIFS(SCORES!$D$2:$D$2000,SCORES!$A$2:$A$2000,A180,SCORES!$B$2:$B$2000,B180,SCORES!$C$2:$C$2000,C180),"")</f>
        <v>2</v>
      </c>
      <c r="G180" s="7" t="n">
        <f aca="false">IF(AND(ISNUMBER(F180),ISNUMBER(D180)),1,0)</f>
        <v>1</v>
      </c>
      <c r="H180" s="7" t="str">
        <f aca="false">IFERROR(INDEX(CHECKS!$F$2:$F$2000,MATCH(C180,CHECKS!$A$2:$A$2000,0))&amp;"","")</f>
        <v>W03</v>
      </c>
      <c r="I180" s="7" t="n">
        <f aca="false">IF(H180="","",IF(COUNTIFS(SCORES!$A$2:$A$2000,A180,SCORES!$B$2:$B$2000,B180,SCORES!$C$2:$C$2000,H180,SCORES!$D$2:$D$2000,"&gt;=0")&gt;0,SUMIFS(SCORES!$D$2:$D$2000,SCORES!$A$2:$A$2000,A180,SCORES!$B$2:$B$2000,B180,SCORES!$C$2:$C$2000,H180),""))</f>
        <v>4</v>
      </c>
      <c r="J180" s="7" t="n">
        <f aca="false">IF(AND(ISNUMBER(I180),ISNUMBER(E180)),1,0)</f>
        <v>1</v>
      </c>
    </row>
    <row r="181" customFormat="false" ht="15" hidden="false" customHeight="false" outlineLevel="0" collapsed="false">
      <c r="A181" s="8" t="s">
        <v>87</v>
      </c>
      <c r="B181" s="8" t="s">
        <v>94</v>
      </c>
      <c r="C181" s="8" t="s">
        <v>27</v>
      </c>
      <c r="D181" s="8" t="n">
        <v>1</v>
      </c>
      <c r="E181" s="8" t="n">
        <v>1</v>
      </c>
      <c r="F181" s="10" t="n">
        <f aca="false">IF(COUNTIFS(SCORES!$A$2:$A$2000,A181,SCORES!$B$2:$B$2000,B181,SCORES!$C$2:$C$2000,C181,SCORES!$D$2:$D$2000,"&gt;=0")&gt;0,SUMIFS(SCORES!$D$2:$D$2000,SCORES!$A$2:$A$2000,A181,SCORES!$B$2:$B$2000,B181,SCORES!$C$2:$C$2000,C181),"")</f>
        <v>2</v>
      </c>
      <c r="G181" s="10" t="n">
        <f aca="false">IF(AND(ISNUMBER(F181),ISNUMBER(D181)),1,0)</f>
        <v>1</v>
      </c>
      <c r="H181" s="10" t="str">
        <f aca="false">IFERROR(INDEX(CHECKS!$F$2:$F$2000,MATCH(C181,CHECKS!$A$2:$A$2000,0))&amp;"","")</f>
        <v>W03</v>
      </c>
      <c r="I181" s="10" t="n">
        <f aca="false">IF(H181="","",IF(COUNTIFS(SCORES!$A$2:$A$2000,A181,SCORES!$B$2:$B$2000,B181,SCORES!$C$2:$C$2000,H181,SCORES!$D$2:$D$2000,"&gt;=0")&gt;0,SUMIFS(SCORES!$D$2:$D$2000,SCORES!$A$2:$A$2000,A181,SCORES!$B$2:$B$2000,B181,SCORES!$C$2:$C$2000,H181),""))</f>
        <v>1</v>
      </c>
      <c r="J181" s="10" t="n">
        <f aca="false">IF(AND(ISNUMBER(I181),ISNUMBER(E181)),1,0)</f>
        <v>1</v>
      </c>
    </row>
    <row r="182" customFormat="false" ht="15" hidden="false" customHeight="false" outlineLevel="0" collapsed="false">
      <c r="A182" s="5" t="s">
        <v>88</v>
      </c>
      <c r="B182" s="5" t="s">
        <v>94</v>
      </c>
      <c r="C182" s="5" t="s">
        <v>27</v>
      </c>
      <c r="D182" s="5" t="n">
        <v>1</v>
      </c>
      <c r="E182" s="5" t="n">
        <v>1</v>
      </c>
      <c r="F182" s="7" t="n">
        <f aca="false">IF(COUNTIFS(SCORES!$A$2:$A$2000,A182,SCORES!$B$2:$B$2000,B182,SCORES!$C$2:$C$2000,C182,SCORES!$D$2:$D$2000,"&gt;=0")&gt;0,SUMIFS(SCORES!$D$2:$D$2000,SCORES!$A$2:$A$2000,A182,SCORES!$B$2:$B$2000,B182,SCORES!$C$2:$C$2000,C182),"")</f>
        <v>1</v>
      </c>
      <c r="G182" s="7" t="n">
        <f aca="false">IF(AND(ISNUMBER(F182),ISNUMBER(D182)),1,0)</f>
        <v>1</v>
      </c>
      <c r="H182" s="7" t="str">
        <f aca="false">IFERROR(INDEX(CHECKS!$F$2:$F$2000,MATCH(C182,CHECKS!$A$2:$A$2000,0))&amp;"","")</f>
        <v>W03</v>
      </c>
      <c r="I182" s="7" t="n">
        <f aca="false">IF(H182="","",IF(COUNTIFS(SCORES!$A$2:$A$2000,A182,SCORES!$B$2:$B$2000,B182,SCORES!$C$2:$C$2000,H182,SCORES!$D$2:$D$2000,"&gt;=0")&gt;0,SUMIFS(SCORES!$D$2:$D$2000,SCORES!$A$2:$A$2000,A182,SCORES!$B$2:$B$2000,B182,SCORES!$C$2:$C$2000,H182),""))</f>
        <v>2</v>
      </c>
      <c r="J182" s="7" t="n">
        <f aca="false">IF(AND(ISNUMBER(I182),ISNUMBER(E182)),1,0)</f>
        <v>1</v>
      </c>
    </row>
    <row r="183" customFormat="false" ht="15" hidden="false" customHeight="false" outlineLevel="0" collapsed="false">
      <c r="A183" s="8" t="s">
        <v>89</v>
      </c>
      <c r="B183" s="8" t="s">
        <v>94</v>
      </c>
      <c r="C183" s="8" t="s">
        <v>27</v>
      </c>
      <c r="D183" s="8" t="n">
        <v>3</v>
      </c>
      <c r="E183" s="8" t="n">
        <v>1</v>
      </c>
      <c r="F183" s="10" t="n">
        <f aca="false">IF(COUNTIFS(SCORES!$A$2:$A$2000,A183,SCORES!$B$2:$B$2000,B183,SCORES!$C$2:$C$2000,C183,SCORES!$D$2:$D$2000,"&gt;=0")&gt;0,SUMIFS(SCORES!$D$2:$D$2000,SCORES!$A$2:$A$2000,A183,SCORES!$B$2:$B$2000,B183,SCORES!$C$2:$C$2000,C183),"")</f>
        <v>3</v>
      </c>
      <c r="G183" s="10" t="n">
        <f aca="false">IF(AND(ISNUMBER(F183),ISNUMBER(D183)),1,0)</f>
        <v>1</v>
      </c>
      <c r="H183" s="10" t="str">
        <f aca="false">IFERROR(INDEX(CHECKS!$F$2:$F$2000,MATCH(C183,CHECKS!$A$2:$A$2000,0))&amp;"","")</f>
        <v>W03</v>
      </c>
      <c r="I183" s="10" t="n">
        <f aca="false">IF(H183="","",IF(COUNTIFS(SCORES!$A$2:$A$2000,A183,SCORES!$B$2:$B$2000,B183,SCORES!$C$2:$C$2000,H183,SCORES!$D$2:$D$2000,"&gt;=0")&gt;0,SUMIFS(SCORES!$D$2:$D$2000,SCORES!$A$2:$A$2000,A183,SCORES!$B$2:$B$2000,B183,SCORES!$C$2:$C$2000,H183),""))</f>
        <v>4</v>
      </c>
      <c r="J183" s="10" t="n">
        <f aca="false">IF(AND(ISNUMBER(I183),ISNUMBER(E183)),1,0)</f>
        <v>1</v>
      </c>
    </row>
    <row r="184" customFormat="false" ht="15" hidden="false" customHeight="false" outlineLevel="0" collapsed="false">
      <c r="A184" s="5" t="s">
        <v>90</v>
      </c>
      <c r="B184" s="5" t="s">
        <v>94</v>
      </c>
      <c r="C184" s="5" t="s">
        <v>27</v>
      </c>
      <c r="D184" s="5" t="n">
        <v>0</v>
      </c>
      <c r="E184" s="5" t="n">
        <v>2</v>
      </c>
      <c r="F184" s="7" t="n">
        <f aca="false">IF(COUNTIFS(SCORES!$A$2:$A$2000,A184,SCORES!$B$2:$B$2000,B184,SCORES!$C$2:$C$2000,C184,SCORES!$D$2:$D$2000,"&gt;=0")&gt;0,SUMIFS(SCORES!$D$2:$D$2000,SCORES!$A$2:$A$2000,A184,SCORES!$B$2:$B$2000,B184,SCORES!$C$2:$C$2000,C184),"")</f>
        <v>1</v>
      </c>
      <c r="G184" s="7" t="n">
        <f aca="false">IF(AND(ISNUMBER(F184),ISNUMBER(D184)),1,0)</f>
        <v>1</v>
      </c>
      <c r="H184" s="7" t="str">
        <f aca="false">IFERROR(INDEX(CHECKS!$F$2:$F$2000,MATCH(C184,CHECKS!$A$2:$A$2000,0))&amp;"","")</f>
        <v>W03</v>
      </c>
      <c r="I184" s="7" t="n">
        <f aca="false">IF(H184="","",IF(COUNTIFS(SCORES!$A$2:$A$2000,A184,SCORES!$B$2:$B$2000,B184,SCORES!$C$2:$C$2000,H184,SCORES!$D$2:$D$2000,"&gt;=0")&gt;0,SUMIFS(SCORES!$D$2:$D$2000,SCORES!$A$2:$A$2000,A184,SCORES!$B$2:$B$2000,B184,SCORES!$C$2:$C$2000,H184),""))</f>
        <v>1</v>
      </c>
      <c r="J184" s="7" t="n">
        <f aca="false">IF(AND(ISNUMBER(I184),ISNUMBER(E184)),1,0)</f>
        <v>1</v>
      </c>
    </row>
    <row r="185" customFormat="false" ht="15" hidden="false" customHeight="false" outlineLevel="0" collapsed="false">
      <c r="A185" s="8" t="s">
        <v>91</v>
      </c>
      <c r="B185" s="8" t="s">
        <v>94</v>
      </c>
      <c r="C185" s="8" t="s">
        <v>27</v>
      </c>
      <c r="D185" s="8" t="n">
        <v>1</v>
      </c>
      <c r="E185" s="8" t="n">
        <v>1</v>
      </c>
      <c r="F185" s="10" t="n">
        <f aca="false">IF(COUNTIFS(SCORES!$A$2:$A$2000,A185,SCORES!$B$2:$B$2000,B185,SCORES!$C$2:$C$2000,C185,SCORES!$D$2:$D$2000,"&gt;=0")&gt;0,SUMIFS(SCORES!$D$2:$D$2000,SCORES!$A$2:$A$2000,A185,SCORES!$B$2:$B$2000,B185,SCORES!$C$2:$C$2000,C185),"")</f>
        <v>3</v>
      </c>
      <c r="G185" s="10" t="n">
        <f aca="false">IF(AND(ISNUMBER(F185),ISNUMBER(D185)),1,0)</f>
        <v>1</v>
      </c>
      <c r="H185" s="10" t="str">
        <f aca="false">IFERROR(INDEX(CHECKS!$F$2:$F$2000,MATCH(C185,CHECKS!$A$2:$A$2000,0))&amp;"","")</f>
        <v>W03</v>
      </c>
      <c r="I185" s="10" t="n">
        <f aca="false">IF(H185="","",IF(COUNTIFS(SCORES!$A$2:$A$2000,A185,SCORES!$B$2:$B$2000,B185,SCORES!$C$2:$C$2000,H185,SCORES!$D$2:$D$2000,"&gt;=0")&gt;0,SUMIFS(SCORES!$D$2:$D$2000,SCORES!$A$2:$A$2000,A185,SCORES!$B$2:$B$2000,B185,SCORES!$C$2:$C$2000,H185),""))</f>
        <v>2</v>
      </c>
      <c r="J185" s="10" t="n">
        <f aca="false">IF(AND(ISNUMBER(I185),ISNUMBER(E185)),1,0)</f>
        <v>1</v>
      </c>
    </row>
    <row r="186" customFormat="false" ht="15" hidden="false" customHeight="false" outlineLevel="0" collapsed="false">
      <c r="A186" s="5" t="s">
        <v>92</v>
      </c>
      <c r="B186" s="5" t="s">
        <v>94</v>
      </c>
      <c r="C186" s="5" t="s">
        <v>27</v>
      </c>
      <c r="D186" s="5" t="n">
        <v>1</v>
      </c>
      <c r="E186" s="5" t="n">
        <v>1</v>
      </c>
      <c r="F186" s="7" t="n">
        <f aca="false">IF(COUNTIFS(SCORES!$A$2:$A$2000,A186,SCORES!$B$2:$B$2000,B186,SCORES!$C$2:$C$2000,C186,SCORES!$D$2:$D$2000,"&gt;=0")&gt;0,SUMIFS(SCORES!$D$2:$D$2000,SCORES!$A$2:$A$2000,A186,SCORES!$B$2:$B$2000,B186,SCORES!$C$2:$C$2000,C186),"")</f>
        <v>0</v>
      </c>
      <c r="G186" s="7" t="n">
        <f aca="false">IF(AND(ISNUMBER(F186),ISNUMBER(D186)),1,0)</f>
        <v>1</v>
      </c>
      <c r="H186" s="7" t="str">
        <f aca="false">IFERROR(INDEX(CHECKS!$F$2:$F$2000,MATCH(C186,CHECKS!$A$2:$A$2000,0))&amp;"","")</f>
        <v>W03</v>
      </c>
      <c r="I186" s="7" t="n">
        <f aca="false">IF(H186="","",IF(COUNTIFS(SCORES!$A$2:$A$2000,A186,SCORES!$B$2:$B$2000,B186,SCORES!$C$2:$C$2000,H186,SCORES!$D$2:$D$2000,"&gt;=0")&gt;0,SUMIFS(SCORES!$D$2:$D$2000,SCORES!$A$2:$A$2000,A186,SCORES!$B$2:$B$2000,B186,SCORES!$C$2:$C$2000,H186),""))</f>
        <v>4</v>
      </c>
      <c r="J186" s="7" t="n">
        <f aca="false">IF(AND(ISNUMBER(I186),ISNUMBER(E186)),1,0)</f>
        <v>1</v>
      </c>
    </row>
    <row r="187" customFormat="false" ht="15" hidden="false" customHeight="false" outlineLevel="0" collapsed="false">
      <c r="A187" s="8" t="s">
        <v>93</v>
      </c>
      <c r="B187" s="8" t="s">
        <v>94</v>
      </c>
      <c r="C187" s="8" t="s">
        <v>27</v>
      </c>
      <c r="D187" s="8" t="n">
        <v>2</v>
      </c>
      <c r="E187" s="8" t="n">
        <v>1</v>
      </c>
      <c r="F187" s="10" t="n">
        <f aca="false">IF(COUNTIFS(SCORES!$A$2:$A$2000,A187,SCORES!$B$2:$B$2000,B187,SCORES!$C$2:$C$2000,C187,SCORES!$D$2:$D$2000,"&gt;=0")&gt;0,SUMIFS(SCORES!$D$2:$D$2000,SCORES!$A$2:$A$2000,A187,SCORES!$B$2:$B$2000,B187,SCORES!$C$2:$C$2000,C187),"")</f>
        <v>0</v>
      </c>
      <c r="G187" s="10" t="n">
        <f aca="false">IF(AND(ISNUMBER(F187),ISNUMBER(D187)),1,0)</f>
        <v>1</v>
      </c>
      <c r="H187" s="10" t="str">
        <f aca="false">IFERROR(INDEX(CHECKS!$F$2:$F$2000,MATCH(C187,CHECKS!$A$2:$A$2000,0))&amp;"","")</f>
        <v>W03</v>
      </c>
      <c r="I187" s="10" t="n">
        <f aca="false">IF(H187="","",IF(COUNTIFS(SCORES!$A$2:$A$2000,A187,SCORES!$B$2:$B$2000,B187,SCORES!$C$2:$C$2000,H187,SCORES!$D$2:$D$2000,"&gt;=0")&gt;0,SUMIFS(SCORES!$D$2:$D$2000,SCORES!$A$2:$A$2000,A187,SCORES!$B$2:$B$2000,B187,SCORES!$C$2:$C$2000,H187),""))</f>
        <v>4</v>
      </c>
      <c r="J187" s="10" t="n">
        <f aca="false">IF(AND(ISNUMBER(I187),ISNUMBER(E187)),1,0)</f>
        <v>1</v>
      </c>
    </row>
    <row r="188" customFormat="false" ht="15" hidden="false" customHeight="false" outlineLevel="0" collapsed="false">
      <c r="A188" s="5" t="s">
        <v>67</v>
      </c>
      <c r="B188" s="5" t="s">
        <v>68</v>
      </c>
      <c r="C188" s="5" t="s">
        <v>29</v>
      </c>
      <c r="D188" s="5" t="n">
        <v>3</v>
      </c>
      <c r="E188" s="5" t="n">
        <v>0</v>
      </c>
      <c r="F188" s="7" t="n">
        <f aca="false">IF(COUNTIFS(SCORES!$A$2:$A$2000,A188,SCORES!$B$2:$B$2000,B188,SCORES!$C$2:$C$2000,C188,SCORES!$D$2:$D$2000,"&gt;=0")&gt;0,SUMIFS(SCORES!$D$2:$D$2000,SCORES!$A$2:$A$2000,A188,SCORES!$B$2:$B$2000,B188,SCORES!$C$2:$C$2000,C188),"")</f>
        <v>3</v>
      </c>
      <c r="G188" s="7" t="n">
        <f aca="false">IF(AND(ISNUMBER(F188),ISNUMBER(D188)),1,0)</f>
        <v>1</v>
      </c>
      <c r="H188" s="7" t="str">
        <f aca="false">IFERROR(INDEX(CHECKS!$F$2:$F$2000,MATCH(C188,CHECKS!$A$2:$A$2000,0))&amp;"","")</f>
        <v>W04</v>
      </c>
      <c r="I188" s="7" t="n">
        <f aca="false">IF(H188="","",IF(COUNTIFS(SCORES!$A$2:$A$2000,A188,SCORES!$B$2:$B$2000,B188,SCORES!$C$2:$C$2000,H188,SCORES!$D$2:$D$2000,"&gt;=0")&gt;0,SUMIFS(SCORES!$D$2:$D$2000,SCORES!$A$2:$A$2000,A188,SCORES!$B$2:$B$2000,B188,SCORES!$C$2:$C$2000,H188),""))</f>
        <v>3</v>
      </c>
      <c r="J188" s="7" t="n">
        <f aca="false">IF(AND(ISNUMBER(I188),ISNUMBER(E188)),1,0)</f>
        <v>1</v>
      </c>
    </row>
    <row r="189" customFormat="false" ht="15" hidden="false" customHeight="false" outlineLevel="0" collapsed="false">
      <c r="A189" s="8" t="s">
        <v>69</v>
      </c>
      <c r="B189" s="8" t="s">
        <v>68</v>
      </c>
      <c r="C189" s="8" t="s">
        <v>29</v>
      </c>
      <c r="D189" s="8" t="n">
        <v>3</v>
      </c>
      <c r="E189" s="8" t="n">
        <v>1</v>
      </c>
      <c r="F189" s="10" t="str">
        <f aca="false">IF(COUNTIFS(SCORES!$A$2:$A$2000,A189,SCORES!$B$2:$B$2000,B189,SCORES!$C$2:$C$2000,C189,SCORES!$D$2:$D$2000,"&gt;=0")&gt;0,SUMIFS(SCORES!$D$2:$D$2000,SCORES!$A$2:$A$2000,A189,SCORES!$B$2:$B$2000,B189,SCORES!$C$2:$C$2000,C189),"")</f>
        <v/>
      </c>
      <c r="G189" s="10" t="n">
        <f aca="false">IF(AND(ISNUMBER(F189),ISNUMBER(D189)),1,0)</f>
        <v>0</v>
      </c>
      <c r="H189" s="10" t="str">
        <f aca="false">IFERROR(INDEX(CHECKS!$F$2:$F$2000,MATCH(C189,CHECKS!$A$2:$A$2000,0))&amp;"","")</f>
        <v>W04</v>
      </c>
      <c r="I189" s="10" t="n">
        <f aca="false">IF(H189="","",IF(COUNTIFS(SCORES!$A$2:$A$2000,A189,SCORES!$B$2:$B$2000,B189,SCORES!$C$2:$C$2000,H189,SCORES!$D$2:$D$2000,"&gt;=0")&gt;0,SUMIFS(SCORES!$D$2:$D$2000,SCORES!$A$2:$A$2000,A189,SCORES!$B$2:$B$2000,B189,SCORES!$C$2:$C$2000,H189),""))</f>
        <v>3</v>
      </c>
      <c r="J189" s="10" t="n">
        <f aca="false">IF(AND(ISNUMBER(I189),ISNUMBER(E189)),1,0)</f>
        <v>1</v>
      </c>
    </row>
    <row r="190" customFormat="false" ht="15" hidden="false" customHeight="false" outlineLevel="0" collapsed="false">
      <c r="A190" s="5" t="s">
        <v>71</v>
      </c>
      <c r="B190" s="5" t="s">
        <v>68</v>
      </c>
      <c r="C190" s="5" t="s">
        <v>29</v>
      </c>
      <c r="D190" s="5" t="n">
        <v>3</v>
      </c>
      <c r="E190" s="5" t="n">
        <v>1</v>
      </c>
      <c r="F190" s="7" t="n">
        <f aca="false">IF(COUNTIFS(SCORES!$A$2:$A$2000,A190,SCORES!$B$2:$B$2000,B190,SCORES!$C$2:$C$2000,C190,SCORES!$D$2:$D$2000,"&gt;=0")&gt;0,SUMIFS(SCORES!$D$2:$D$2000,SCORES!$A$2:$A$2000,A190,SCORES!$B$2:$B$2000,B190,SCORES!$C$2:$C$2000,C190),"")</f>
        <v>4</v>
      </c>
      <c r="G190" s="7" t="n">
        <f aca="false">IF(AND(ISNUMBER(F190),ISNUMBER(D190)),1,0)</f>
        <v>1</v>
      </c>
      <c r="H190" s="7" t="str">
        <f aca="false">IFERROR(INDEX(CHECKS!$F$2:$F$2000,MATCH(C190,CHECKS!$A$2:$A$2000,0))&amp;"","")</f>
        <v>W04</v>
      </c>
      <c r="I190" s="7" t="n">
        <f aca="false">IF(H190="","",IF(COUNTIFS(SCORES!$A$2:$A$2000,A190,SCORES!$B$2:$B$2000,B190,SCORES!$C$2:$C$2000,H190,SCORES!$D$2:$D$2000,"&gt;=0")&gt;0,SUMIFS(SCORES!$D$2:$D$2000,SCORES!$A$2:$A$2000,A190,SCORES!$B$2:$B$2000,B190,SCORES!$C$2:$C$2000,H190),""))</f>
        <v>3</v>
      </c>
      <c r="J190" s="7" t="n">
        <f aca="false">IF(AND(ISNUMBER(I190),ISNUMBER(E190)),1,0)</f>
        <v>1</v>
      </c>
    </row>
    <row r="191" customFormat="false" ht="15" hidden="false" customHeight="false" outlineLevel="0" collapsed="false">
      <c r="A191" s="8" t="s">
        <v>72</v>
      </c>
      <c r="B191" s="8" t="s">
        <v>68</v>
      </c>
      <c r="C191" s="8" t="s">
        <v>29</v>
      </c>
      <c r="D191" s="8" t="n">
        <v>1</v>
      </c>
      <c r="E191" s="8" t="n">
        <v>0</v>
      </c>
      <c r="F191" s="10" t="n">
        <f aca="false">IF(COUNTIFS(SCORES!$A$2:$A$2000,A191,SCORES!$B$2:$B$2000,B191,SCORES!$C$2:$C$2000,C191,SCORES!$D$2:$D$2000,"&gt;=0")&gt;0,SUMIFS(SCORES!$D$2:$D$2000,SCORES!$A$2:$A$2000,A191,SCORES!$B$2:$B$2000,B191,SCORES!$C$2:$C$2000,C191),"")</f>
        <v>2</v>
      </c>
      <c r="G191" s="10" t="n">
        <f aca="false">IF(AND(ISNUMBER(F191),ISNUMBER(D191)),1,0)</f>
        <v>1</v>
      </c>
      <c r="H191" s="10" t="str">
        <f aca="false">IFERROR(INDEX(CHECKS!$F$2:$F$2000,MATCH(C191,CHECKS!$A$2:$A$2000,0))&amp;"","")</f>
        <v>W04</v>
      </c>
      <c r="I191" s="10" t="n">
        <f aca="false">IF(H191="","",IF(COUNTIFS(SCORES!$A$2:$A$2000,A191,SCORES!$B$2:$B$2000,B191,SCORES!$C$2:$C$2000,H191,SCORES!$D$2:$D$2000,"&gt;=0")&gt;0,SUMIFS(SCORES!$D$2:$D$2000,SCORES!$A$2:$A$2000,A191,SCORES!$B$2:$B$2000,B191,SCORES!$C$2:$C$2000,H191),""))</f>
        <v>2</v>
      </c>
      <c r="J191" s="10" t="n">
        <f aca="false">IF(AND(ISNUMBER(I191),ISNUMBER(E191)),1,0)</f>
        <v>1</v>
      </c>
    </row>
    <row r="192" customFormat="false" ht="15" hidden="false" customHeight="false" outlineLevel="0" collapsed="false">
      <c r="A192" s="5" t="s">
        <v>73</v>
      </c>
      <c r="B192" s="5" t="s">
        <v>68</v>
      </c>
      <c r="C192" s="5" t="s">
        <v>29</v>
      </c>
      <c r="D192" s="5" t="n">
        <v>2</v>
      </c>
      <c r="E192" s="5" t="n">
        <v>0</v>
      </c>
      <c r="F192" s="7" t="n">
        <f aca="false">IF(COUNTIFS(SCORES!$A$2:$A$2000,A192,SCORES!$B$2:$B$2000,B192,SCORES!$C$2:$C$2000,C192,SCORES!$D$2:$D$2000,"&gt;=0")&gt;0,SUMIFS(SCORES!$D$2:$D$2000,SCORES!$A$2:$A$2000,A192,SCORES!$B$2:$B$2000,B192,SCORES!$C$2:$C$2000,C192),"")</f>
        <v>1</v>
      </c>
      <c r="G192" s="7" t="n">
        <f aca="false">IF(AND(ISNUMBER(F192),ISNUMBER(D192)),1,0)</f>
        <v>1</v>
      </c>
      <c r="H192" s="7" t="str">
        <f aca="false">IFERROR(INDEX(CHECKS!$F$2:$F$2000,MATCH(C192,CHECKS!$A$2:$A$2000,0))&amp;"","")</f>
        <v>W04</v>
      </c>
      <c r="I192" s="7" t="n">
        <f aca="false">IF(H192="","",IF(COUNTIFS(SCORES!$A$2:$A$2000,A192,SCORES!$B$2:$B$2000,B192,SCORES!$C$2:$C$2000,H192,SCORES!$D$2:$D$2000,"&gt;=0")&gt;0,SUMIFS(SCORES!$D$2:$D$2000,SCORES!$A$2:$A$2000,A192,SCORES!$B$2:$B$2000,B192,SCORES!$C$2:$C$2000,H192),""))</f>
        <v>1</v>
      </c>
      <c r="J192" s="7" t="n">
        <f aca="false">IF(AND(ISNUMBER(I192),ISNUMBER(E192)),1,0)</f>
        <v>1</v>
      </c>
    </row>
    <row r="193" customFormat="false" ht="15" hidden="false" customHeight="false" outlineLevel="0" collapsed="false">
      <c r="A193" s="8" t="s">
        <v>74</v>
      </c>
      <c r="B193" s="8" t="s">
        <v>68</v>
      </c>
      <c r="C193" s="8" t="s">
        <v>29</v>
      </c>
      <c r="D193" s="8" t="n">
        <v>3</v>
      </c>
      <c r="E193" s="8" t="n">
        <v>1</v>
      </c>
      <c r="F193" s="10" t="n">
        <f aca="false">IF(COUNTIFS(SCORES!$A$2:$A$2000,A193,SCORES!$B$2:$B$2000,B193,SCORES!$C$2:$C$2000,C193,SCORES!$D$2:$D$2000,"&gt;=0")&gt;0,SUMIFS(SCORES!$D$2:$D$2000,SCORES!$A$2:$A$2000,A193,SCORES!$B$2:$B$2000,B193,SCORES!$C$2:$C$2000,C193),"")</f>
        <v>4</v>
      </c>
      <c r="G193" s="10" t="n">
        <f aca="false">IF(AND(ISNUMBER(F193),ISNUMBER(D193)),1,0)</f>
        <v>1</v>
      </c>
      <c r="H193" s="10" t="str">
        <f aca="false">IFERROR(INDEX(CHECKS!$F$2:$F$2000,MATCH(C193,CHECKS!$A$2:$A$2000,0))&amp;"","")</f>
        <v>W04</v>
      </c>
      <c r="I193" s="10" t="n">
        <f aca="false">IF(H193="","",IF(COUNTIFS(SCORES!$A$2:$A$2000,A193,SCORES!$B$2:$B$2000,B193,SCORES!$C$2:$C$2000,H193,SCORES!$D$2:$D$2000,"&gt;=0")&gt;0,SUMIFS(SCORES!$D$2:$D$2000,SCORES!$A$2:$A$2000,A193,SCORES!$B$2:$B$2000,B193,SCORES!$C$2:$C$2000,H193),""))</f>
        <v>3</v>
      </c>
      <c r="J193" s="10" t="n">
        <f aca="false">IF(AND(ISNUMBER(I193),ISNUMBER(E193)),1,0)</f>
        <v>1</v>
      </c>
    </row>
    <row r="194" customFormat="false" ht="15" hidden="false" customHeight="false" outlineLevel="0" collapsed="false">
      <c r="A194" s="5" t="s">
        <v>75</v>
      </c>
      <c r="B194" s="5" t="s">
        <v>68</v>
      </c>
      <c r="C194" s="5" t="s">
        <v>29</v>
      </c>
      <c r="D194" s="5" t="n">
        <v>3</v>
      </c>
      <c r="E194" s="5" t="n">
        <v>1</v>
      </c>
      <c r="F194" s="7" t="n">
        <f aca="false">IF(COUNTIFS(SCORES!$A$2:$A$2000,A194,SCORES!$B$2:$B$2000,B194,SCORES!$C$2:$C$2000,C194,SCORES!$D$2:$D$2000,"&gt;=0")&gt;0,SUMIFS(SCORES!$D$2:$D$2000,SCORES!$A$2:$A$2000,A194,SCORES!$B$2:$B$2000,B194,SCORES!$C$2:$C$2000,C194),"")</f>
        <v>5</v>
      </c>
      <c r="G194" s="7" t="n">
        <f aca="false">IF(AND(ISNUMBER(F194),ISNUMBER(D194)),1,0)</f>
        <v>1</v>
      </c>
      <c r="H194" s="7" t="str">
        <f aca="false">IFERROR(INDEX(CHECKS!$F$2:$F$2000,MATCH(C194,CHECKS!$A$2:$A$2000,0))&amp;"","")</f>
        <v>W04</v>
      </c>
      <c r="I194" s="7" t="n">
        <f aca="false">IF(H194="","",IF(COUNTIFS(SCORES!$A$2:$A$2000,A194,SCORES!$B$2:$B$2000,B194,SCORES!$C$2:$C$2000,H194,SCORES!$D$2:$D$2000,"&gt;=0")&gt;0,SUMIFS(SCORES!$D$2:$D$2000,SCORES!$A$2:$A$2000,A194,SCORES!$B$2:$B$2000,B194,SCORES!$C$2:$C$2000,H194),""))</f>
        <v>5</v>
      </c>
      <c r="J194" s="7" t="n">
        <f aca="false">IF(AND(ISNUMBER(I194),ISNUMBER(E194)),1,0)</f>
        <v>1</v>
      </c>
    </row>
    <row r="195" customFormat="false" ht="15" hidden="false" customHeight="false" outlineLevel="0" collapsed="false">
      <c r="A195" s="8" t="s">
        <v>76</v>
      </c>
      <c r="B195" s="8" t="s">
        <v>68</v>
      </c>
      <c r="C195" s="8" t="s">
        <v>29</v>
      </c>
      <c r="D195" s="8" t="n">
        <v>2</v>
      </c>
      <c r="E195" s="8" t="n">
        <v>1</v>
      </c>
      <c r="F195" s="10" t="n">
        <f aca="false">IF(COUNTIFS(SCORES!$A$2:$A$2000,A195,SCORES!$B$2:$B$2000,B195,SCORES!$C$2:$C$2000,C195,SCORES!$D$2:$D$2000,"&gt;=0")&gt;0,SUMIFS(SCORES!$D$2:$D$2000,SCORES!$A$2:$A$2000,A195,SCORES!$B$2:$B$2000,B195,SCORES!$C$2:$C$2000,C195),"")</f>
        <v>4</v>
      </c>
      <c r="G195" s="10" t="n">
        <f aca="false">IF(AND(ISNUMBER(F195),ISNUMBER(D195)),1,0)</f>
        <v>1</v>
      </c>
      <c r="H195" s="10" t="str">
        <f aca="false">IFERROR(INDEX(CHECKS!$F$2:$F$2000,MATCH(C195,CHECKS!$A$2:$A$2000,0))&amp;"","")</f>
        <v>W04</v>
      </c>
      <c r="I195" s="10" t="n">
        <f aca="false">IF(H195="","",IF(COUNTIFS(SCORES!$A$2:$A$2000,A195,SCORES!$B$2:$B$2000,B195,SCORES!$C$2:$C$2000,H195,SCORES!$D$2:$D$2000,"&gt;=0")&gt;0,SUMIFS(SCORES!$D$2:$D$2000,SCORES!$A$2:$A$2000,A195,SCORES!$B$2:$B$2000,B195,SCORES!$C$2:$C$2000,H195),""))</f>
        <v>3</v>
      </c>
      <c r="J195" s="10" t="n">
        <f aca="false">IF(AND(ISNUMBER(I195),ISNUMBER(E195)),1,0)</f>
        <v>1</v>
      </c>
    </row>
    <row r="196" customFormat="false" ht="15" hidden="false" customHeight="false" outlineLevel="0" collapsed="false">
      <c r="A196" s="5" t="s">
        <v>77</v>
      </c>
      <c r="B196" s="5" t="s">
        <v>68</v>
      </c>
      <c r="C196" s="5" t="s">
        <v>29</v>
      </c>
      <c r="D196" s="5" t="n">
        <v>3</v>
      </c>
      <c r="E196" s="5" t="n">
        <v>2</v>
      </c>
      <c r="F196" s="7" t="str">
        <f aca="false">IF(COUNTIFS(SCORES!$A$2:$A$2000,A196,SCORES!$B$2:$B$2000,B196,SCORES!$C$2:$C$2000,C196,SCORES!$D$2:$D$2000,"&gt;=0")&gt;0,SUMIFS(SCORES!$D$2:$D$2000,SCORES!$A$2:$A$2000,A196,SCORES!$B$2:$B$2000,B196,SCORES!$C$2:$C$2000,C196),"")</f>
        <v/>
      </c>
      <c r="G196" s="7" t="n">
        <f aca="false">IF(AND(ISNUMBER(F196),ISNUMBER(D196)),1,0)</f>
        <v>0</v>
      </c>
      <c r="H196" s="7" t="str">
        <f aca="false">IFERROR(INDEX(CHECKS!$F$2:$F$2000,MATCH(C196,CHECKS!$A$2:$A$2000,0))&amp;"","")</f>
        <v>W04</v>
      </c>
      <c r="I196" s="7" t="n">
        <f aca="false">IF(H196="","",IF(COUNTIFS(SCORES!$A$2:$A$2000,A196,SCORES!$B$2:$B$2000,B196,SCORES!$C$2:$C$2000,H196,SCORES!$D$2:$D$2000,"&gt;=0")&gt;0,SUMIFS(SCORES!$D$2:$D$2000,SCORES!$A$2:$A$2000,A196,SCORES!$B$2:$B$2000,B196,SCORES!$C$2:$C$2000,H196),""))</f>
        <v>3</v>
      </c>
      <c r="J196" s="7" t="n">
        <f aca="false">IF(AND(ISNUMBER(I196),ISNUMBER(E196)),1,0)</f>
        <v>1</v>
      </c>
    </row>
    <row r="197" customFormat="false" ht="15" hidden="false" customHeight="false" outlineLevel="0" collapsed="false">
      <c r="A197" s="8" t="s">
        <v>79</v>
      </c>
      <c r="B197" s="8" t="s">
        <v>68</v>
      </c>
      <c r="C197" s="8" t="s">
        <v>29</v>
      </c>
      <c r="D197" s="8" t="n">
        <v>3</v>
      </c>
      <c r="E197" s="8" t="n">
        <v>1</v>
      </c>
      <c r="F197" s="10" t="n">
        <f aca="false">IF(COUNTIFS(SCORES!$A$2:$A$2000,A197,SCORES!$B$2:$B$2000,B197,SCORES!$C$2:$C$2000,C197,SCORES!$D$2:$D$2000,"&gt;=0")&gt;0,SUMIFS(SCORES!$D$2:$D$2000,SCORES!$A$2:$A$2000,A197,SCORES!$B$2:$B$2000,B197,SCORES!$C$2:$C$2000,C197),"")</f>
        <v>4</v>
      </c>
      <c r="G197" s="10" t="n">
        <f aca="false">IF(AND(ISNUMBER(F197),ISNUMBER(D197)),1,0)</f>
        <v>1</v>
      </c>
      <c r="H197" s="10" t="str">
        <f aca="false">IFERROR(INDEX(CHECKS!$F$2:$F$2000,MATCH(C197,CHECKS!$A$2:$A$2000,0))&amp;"","")</f>
        <v>W04</v>
      </c>
      <c r="I197" s="10" t="n">
        <f aca="false">IF(H197="","",IF(COUNTIFS(SCORES!$A$2:$A$2000,A197,SCORES!$B$2:$B$2000,B197,SCORES!$C$2:$C$2000,H197,SCORES!$D$2:$D$2000,"&gt;=0")&gt;0,SUMIFS(SCORES!$D$2:$D$2000,SCORES!$A$2:$A$2000,A197,SCORES!$B$2:$B$2000,B197,SCORES!$C$2:$C$2000,H197),""))</f>
        <v>2</v>
      </c>
      <c r="J197" s="10" t="n">
        <f aca="false">IF(AND(ISNUMBER(I197),ISNUMBER(E197)),1,0)</f>
        <v>1</v>
      </c>
    </row>
    <row r="198" customFormat="false" ht="15" hidden="false" customHeight="false" outlineLevel="0" collapsed="false">
      <c r="A198" s="5" t="s">
        <v>80</v>
      </c>
      <c r="B198" s="5" t="s">
        <v>68</v>
      </c>
      <c r="C198" s="5" t="s">
        <v>29</v>
      </c>
      <c r="D198" s="5" t="n">
        <v>3</v>
      </c>
      <c r="E198" s="5" t="n">
        <v>2</v>
      </c>
      <c r="F198" s="7" t="n">
        <f aca="false">IF(COUNTIFS(SCORES!$A$2:$A$2000,A198,SCORES!$B$2:$B$2000,B198,SCORES!$C$2:$C$2000,C198,SCORES!$D$2:$D$2000,"&gt;=0")&gt;0,SUMIFS(SCORES!$D$2:$D$2000,SCORES!$A$2:$A$2000,A198,SCORES!$B$2:$B$2000,B198,SCORES!$C$2:$C$2000,C198),"")</f>
        <v>3</v>
      </c>
      <c r="G198" s="7" t="n">
        <f aca="false">IF(AND(ISNUMBER(F198),ISNUMBER(D198)),1,0)</f>
        <v>1</v>
      </c>
      <c r="H198" s="7" t="str">
        <f aca="false">IFERROR(INDEX(CHECKS!$F$2:$F$2000,MATCH(C198,CHECKS!$A$2:$A$2000,0))&amp;"","")</f>
        <v>W04</v>
      </c>
      <c r="I198" s="7" t="n">
        <f aca="false">IF(H198="","",IF(COUNTIFS(SCORES!$A$2:$A$2000,A198,SCORES!$B$2:$B$2000,B198,SCORES!$C$2:$C$2000,H198,SCORES!$D$2:$D$2000,"&gt;=0")&gt;0,SUMIFS(SCORES!$D$2:$D$2000,SCORES!$A$2:$A$2000,A198,SCORES!$B$2:$B$2000,B198,SCORES!$C$2:$C$2000,H198),""))</f>
        <v>3</v>
      </c>
      <c r="J198" s="7" t="n">
        <f aca="false">IF(AND(ISNUMBER(I198),ISNUMBER(E198)),1,0)</f>
        <v>1</v>
      </c>
    </row>
    <row r="199" customFormat="false" ht="15" hidden="false" customHeight="false" outlineLevel="0" collapsed="false">
      <c r="A199" s="8" t="s">
        <v>81</v>
      </c>
      <c r="B199" s="8" t="s">
        <v>68</v>
      </c>
      <c r="C199" s="8" t="s">
        <v>29</v>
      </c>
      <c r="D199" s="8" t="n">
        <v>1</v>
      </c>
      <c r="E199" s="8" t="n">
        <v>0</v>
      </c>
      <c r="F199" s="10" t="n">
        <f aca="false">IF(COUNTIFS(SCORES!$A$2:$A$2000,A199,SCORES!$B$2:$B$2000,B199,SCORES!$C$2:$C$2000,C199,SCORES!$D$2:$D$2000,"&gt;=0")&gt;0,SUMIFS(SCORES!$D$2:$D$2000,SCORES!$A$2:$A$2000,A199,SCORES!$B$2:$B$2000,B199,SCORES!$C$2:$C$2000,C199),"")</f>
        <v>3</v>
      </c>
      <c r="G199" s="10" t="n">
        <f aca="false">IF(AND(ISNUMBER(F199),ISNUMBER(D199)),1,0)</f>
        <v>1</v>
      </c>
      <c r="H199" s="10" t="str">
        <f aca="false">IFERROR(INDEX(CHECKS!$F$2:$F$2000,MATCH(C199,CHECKS!$A$2:$A$2000,0))&amp;"","")</f>
        <v>W04</v>
      </c>
      <c r="I199" s="10" t="n">
        <f aca="false">IF(H199="","",IF(COUNTIFS(SCORES!$A$2:$A$2000,A199,SCORES!$B$2:$B$2000,B199,SCORES!$C$2:$C$2000,H199,SCORES!$D$2:$D$2000,"&gt;=0")&gt;0,SUMIFS(SCORES!$D$2:$D$2000,SCORES!$A$2:$A$2000,A199,SCORES!$B$2:$B$2000,B199,SCORES!$C$2:$C$2000,H199),""))</f>
        <v>1</v>
      </c>
      <c r="J199" s="10" t="n">
        <f aca="false">IF(AND(ISNUMBER(I199),ISNUMBER(E199)),1,0)</f>
        <v>1</v>
      </c>
    </row>
    <row r="200" customFormat="false" ht="15" hidden="false" customHeight="false" outlineLevel="0" collapsed="false">
      <c r="A200" s="5" t="s">
        <v>82</v>
      </c>
      <c r="B200" s="5" t="s">
        <v>68</v>
      </c>
      <c r="C200" s="5" t="s">
        <v>29</v>
      </c>
      <c r="D200" s="5" t="n">
        <v>3</v>
      </c>
      <c r="E200" s="5" t="n">
        <v>1</v>
      </c>
      <c r="F200" s="7" t="n">
        <f aca="false">IF(COUNTIFS(SCORES!$A$2:$A$2000,A200,SCORES!$B$2:$B$2000,B200,SCORES!$C$2:$C$2000,C200,SCORES!$D$2:$D$2000,"&gt;=0")&gt;0,SUMIFS(SCORES!$D$2:$D$2000,SCORES!$A$2:$A$2000,A200,SCORES!$B$2:$B$2000,B200,SCORES!$C$2:$C$2000,C200),"")</f>
        <v>5</v>
      </c>
      <c r="G200" s="7" t="n">
        <f aca="false">IF(AND(ISNUMBER(F200),ISNUMBER(D200)),1,0)</f>
        <v>1</v>
      </c>
      <c r="H200" s="7" t="str">
        <f aca="false">IFERROR(INDEX(CHECKS!$F$2:$F$2000,MATCH(C200,CHECKS!$A$2:$A$2000,0))&amp;"","")</f>
        <v>W04</v>
      </c>
      <c r="I200" s="7" t="n">
        <f aca="false">IF(H200="","",IF(COUNTIFS(SCORES!$A$2:$A$2000,A200,SCORES!$B$2:$B$2000,B200,SCORES!$C$2:$C$2000,H200,SCORES!$D$2:$D$2000,"&gt;=0")&gt;0,SUMIFS(SCORES!$D$2:$D$2000,SCORES!$A$2:$A$2000,A200,SCORES!$B$2:$B$2000,B200,SCORES!$C$2:$C$2000,H200),""))</f>
        <v>3</v>
      </c>
      <c r="J200" s="7" t="n">
        <f aca="false">IF(AND(ISNUMBER(I200),ISNUMBER(E200)),1,0)</f>
        <v>1</v>
      </c>
    </row>
    <row r="201" customFormat="false" ht="15" hidden="false" customHeight="false" outlineLevel="0" collapsed="false">
      <c r="A201" s="8" t="s">
        <v>83</v>
      </c>
      <c r="B201" s="8" t="s">
        <v>68</v>
      </c>
      <c r="C201" s="8" t="s">
        <v>29</v>
      </c>
      <c r="D201" s="8" t="n">
        <v>3</v>
      </c>
      <c r="E201" s="8" t="n">
        <v>0</v>
      </c>
      <c r="F201" s="10" t="n">
        <f aca="false">IF(COUNTIFS(SCORES!$A$2:$A$2000,A201,SCORES!$B$2:$B$2000,B201,SCORES!$C$2:$C$2000,C201,SCORES!$D$2:$D$2000,"&gt;=0")&gt;0,SUMIFS(SCORES!$D$2:$D$2000,SCORES!$A$2:$A$2000,A201,SCORES!$B$2:$B$2000,B201,SCORES!$C$2:$C$2000,C201),"")</f>
        <v>3</v>
      </c>
      <c r="G201" s="10" t="n">
        <f aca="false">IF(AND(ISNUMBER(F201),ISNUMBER(D201)),1,0)</f>
        <v>1</v>
      </c>
      <c r="H201" s="10" t="str">
        <f aca="false">IFERROR(INDEX(CHECKS!$F$2:$F$2000,MATCH(C201,CHECKS!$A$2:$A$2000,0))&amp;"","")</f>
        <v>W04</v>
      </c>
      <c r="I201" s="10" t="n">
        <f aca="false">IF(H201="","",IF(COUNTIFS(SCORES!$A$2:$A$2000,A201,SCORES!$B$2:$B$2000,B201,SCORES!$C$2:$C$2000,H201,SCORES!$D$2:$D$2000,"&gt;=0")&gt;0,SUMIFS(SCORES!$D$2:$D$2000,SCORES!$A$2:$A$2000,A201,SCORES!$B$2:$B$2000,B201,SCORES!$C$2:$C$2000,H201),""))</f>
        <v>4</v>
      </c>
      <c r="J201" s="10" t="n">
        <f aca="false">IF(AND(ISNUMBER(I201),ISNUMBER(E201)),1,0)</f>
        <v>1</v>
      </c>
    </row>
    <row r="202" customFormat="false" ht="15" hidden="false" customHeight="false" outlineLevel="0" collapsed="false">
      <c r="A202" s="5" t="s">
        <v>84</v>
      </c>
      <c r="B202" s="5" t="s">
        <v>68</v>
      </c>
      <c r="C202" s="5" t="s">
        <v>29</v>
      </c>
      <c r="D202" s="5" t="n">
        <v>3</v>
      </c>
      <c r="E202" s="5" t="n">
        <v>2</v>
      </c>
      <c r="F202" s="7" t="n">
        <f aca="false">IF(COUNTIFS(SCORES!$A$2:$A$2000,A202,SCORES!$B$2:$B$2000,B202,SCORES!$C$2:$C$2000,C202,SCORES!$D$2:$D$2000,"&gt;=0")&gt;0,SUMIFS(SCORES!$D$2:$D$2000,SCORES!$A$2:$A$2000,A202,SCORES!$B$2:$B$2000,B202,SCORES!$C$2:$C$2000,C202),"")</f>
        <v>5</v>
      </c>
      <c r="G202" s="7" t="n">
        <f aca="false">IF(AND(ISNUMBER(F202),ISNUMBER(D202)),1,0)</f>
        <v>1</v>
      </c>
      <c r="H202" s="7" t="str">
        <f aca="false">IFERROR(INDEX(CHECKS!$F$2:$F$2000,MATCH(C202,CHECKS!$A$2:$A$2000,0))&amp;"","")</f>
        <v>W04</v>
      </c>
      <c r="I202" s="7" t="n">
        <f aca="false">IF(H202="","",IF(COUNTIFS(SCORES!$A$2:$A$2000,A202,SCORES!$B$2:$B$2000,B202,SCORES!$C$2:$C$2000,H202,SCORES!$D$2:$D$2000,"&gt;=0")&gt;0,SUMIFS(SCORES!$D$2:$D$2000,SCORES!$A$2:$A$2000,A202,SCORES!$B$2:$B$2000,B202,SCORES!$C$2:$C$2000,H202),""))</f>
        <v>4</v>
      </c>
      <c r="J202" s="7" t="n">
        <f aca="false">IF(AND(ISNUMBER(I202),ISNUMBER(E202)),1,0)</f>
        <v>1</v>
      </c>
    </row>
    <row r="203" customFormat="false" ht="15" hidden="false" customHeight="false" outlineLevel="0" collapsed="false">
      <c r="A203" s="8" t="s">
        <v>85</v>
      </c>
      <c r="B203" s="8" t="s">
        <v>68</v>
      </c>
      <c r="C203" s="8" t="s">
        <v>29</v>
      </c>
      <c r="D203" s="8" t="n">
        <v>1</v>
      </c>
      <c r="E203" s="8" t="n">
        <v>0</v>
      </c>
      <c r="F203" s="10" t="n">
        <f aca="false">IF(COUNTIFS(SCORES!$A$2:$A$2000,A203,SCORES!$B$2:$B$2000,B203,SCORES!$C$2:$C$2000,C203,SCORES!$D$2:$D$2000,"&gt;=0")&gt;0,SUMIFS(SCORES!$D$2:$D$2000,SCORES!$A$2:$A$2000,A203,SCORES!$B$2:$B$2000,B203,SCORES!$C$2:$C$2000,C203),"")</f>
        <v>0</v>
      </c>
      <c r="G203" s="10" t="n">
        <f aca="false">IF(AND(ISNUMBER(F203),ISNUMBER(D203)),1,0)</f>
        <v>1</v>
      </c>
      <c r="H203" s="10" t="str">
        <f aca="false">IFERROR(INDEX(CHECKS!$F$2:$F$2000,MATCH(C203,CHECKS!$A$2:$A$2000,0))&amp;"","")</f>
        <v>W04</v>
      </c>
      <c r="I203" s="10" t="str">
        <f aca="false">IF(H203="","",IF(COUNTIFS(SCORES!$A$2:$A$2000,A203,SCORES!$B$2:$B$2000,B203,SCORES!$C$2:$C$2000,H203,SCORES!$D$2:$D$2000,"&gt;=0")&gt;0,SUMIFS(SCORES!$D$2:$D$2000,SCORES!$A$2:$A$2000,A203,SCORES!$B$2:$B$2000,B203,SCORES!$C$2:$C$2000,H203),""))</f>
        <v/>
      </c>
      <c r="J203" s="10" t="n">
        <f aca="false">IF(AND(ISNUMBER(I203),ISNUMBER(E203)),1,0)</f>
        <v>0</v>
      </c>
    </row>
    <row r="204" customFormat="false" ht="15" hidden="false" customHeight="false" outlineLevel="0" collapsed="false">
      <c r="A204" s="5" t="s">
        <v>86</v>
      </c>
      <c r="B204" s="5" t="s">
        <v>68</v>
      </c>
      <c r="C204" s="5" t="s">
        <v>29</v>
      </c>
      <c r="D204" s="5" t="n">
        <v>1</v>
      </c>
      <c r="E204" s="5" t="n">
        <v>0</v>
      </c>
      <c r="F204" s="7" t="n">
        <f aca="false">IF(COUNTIFS(SCORES!$A$2:$A$2000,A204,SCORES!$B$2:$B$2000,B204,SCORES!$C$2:$C$2000,C204,SCORES!$D$2:$D$2000,"&gt;=0")&gt;0,SUMIFS(SCORES!$D$2:$D$2000,SCORES!$A$2:$A$2000,A204,SCORES!$B$2:$B$2000,B204,SCORES!$C$2:$C$2000,C204),"")</f>
        <v>3</v>
      </c>
      <c r="G204" s="7" t="n">
        <f aca="false">IF(AND(ISNUMBER(F204),ISNUMBER(D204)),1,0)</f>
        <v>1</v>
      </c>
      <c r="H204" s="7" t="str">
        <f aca="false">IFERROR(INDEX(CHECKS!$F$2:$F$2000,MATCH(C204,CHECKS!$A$2:$A$2000,0))&amp;"","")</f>
        <v>W04</v>
      </c>
      <c r="I204" s="7" t="n">
        <f aca="false">IF(H204="","",IF(COUNTIFS(SCORES!$A$2:$A$2000,A204,SCORES!$B$2:$B$2000,B204,SCORES!$C$2:$C$2000,H204,SCORES!$D$2:$D$2000,"&gt;=0")&gt;0,SUMIFS(SCORES!$D$2:$D$2000,SCORES!$A$2:$A$2000,A204,SCORES!$B$2:$B$2000,B204,SCORES!$C$2:$C$2000,H204),""))</f>
        <v>0</v>
      </c>
      <c r="J204" s="7" t="n">
        <f aca="false">IF(AND(ISNUMBER(I204),ISNUMBER(E204)),1,0)</f>
        <v>1</v>
      </c>
    </row>
    <row r="205" customFormat="false" ht="15" hidden="false" customHeight="false" outlineLevel="0" collapsed="false">
      <c r="A205" s="8" t="s">
        <v>87</v>
      </c>
      <c r="B205" s="8" t="s">
        <v>68</v>
      </c>
      <c r="C205" s="8" t="s">
        <v>29</v>
      </c>
      <c r="D205" s="8" t="n">
        <v>2</v>
      </c>
      <c r="E205" s="8" t="n">
        <v>1</v>
      </c>
      <c r="F205" s="10" t="n">
        <f aca="false">IF(COUNTIFS(SCORES!$A$2:$A$2000,A205,SCORES!$B$2:$B$2000,B205,SCORES!$C$2:$C$2000,C205,SCORES!$D$2:$D$2000,"&gt;=0")&gt;0,SUMIFS(SCORES!$D$2:$D$2000,SCORES!$A$2:$A$2000,A205,SCORES!$B$2:$B$2000,B205,SCORES!$C$2:$C$2000,C205),"")</f>
        <v>2</v>
      </c>
      <c r="G205" s="10" t="n">
        <f aca="false">IF(AND(ISNUMBER(F205),ISNUMBER(D205)),1,0)</f>
        <v>1</v>
      </c>
      <c r="H205" s="10" t="str">
        <f aca="false">IFERROR(INDEX(CHECKS!$F$2:$F$2000,MATCH(C205,CHECKS!$A$2:$A$2000,0))&amp;"","")</f>
        <v>W04</v>
      </c>
      <c r="I205" s="10" t="n">
        <f aca="false">IF(H205="","",IF(COUNTIFS(SCORES!$A$2:$A$2000,A205,SCORES!$B$2:$B$2000,B205,SCORES!$C$2:$C$2000,H205,SCORES!$D$2:$D$2000,"&gt;=0")&gt;0,SUMIFS(SCORES!$D$2:$D$2000,SCORES!$A$2:$A$2000,A205,SCORES!$B$2:$B$2000,B205,SCORES!$C$2:$C$2000,H205),""))</f>
        <v>3</v>
      </c>
      <c r="J205" s="10" t="n">
        <f aca="false">IF(AND(ISNUMBER(I205),ISNUMBER(E205)),1,0)</f>
        <v>1</v>
      </c>
    </row>
    <row r="206" customFormat="false" ht="15" hidden="false" customHeight="false" outlineLevel="0" collapsed="false">
      <c r="A206" s="5" t="s">
        <v>88</v>
      </c>
      <c r="B206" s="5" t="s">
        <v>68</v>
      </c>
      <c r="C206" s="5" t="s">
        <v>29</v>
      </c>
      <c r="D206" s="5" t="n">
        <v>2</v>
      </c>
      <c r="E206" s="5" t="n">
        <v>0</v>
      </c>
      <c r="F206" s="7" t="n">
        <f aca="false">IF(COUNTIFS(SCORES!$A$2:$A$2000,A206,SCORES!$B$2:$B$2000,B206,SCORES!$C$2:$C$2000,C206,SCORES!$D$2:$D$2000,"&gt;=0")&gt;0,SUMIFS(SCORES!$D$2:$D$2000,SCORES!$A$2:$A$2000,A206,SCORES!$B$2:$B$2000,B206,SCORES!$C$2:$C$2000,C206),"")</f>
        <v>2</v>
      </c>
      <c r="G206" s="7" t="n">
        <f aca="false">IF(AND(ISNUMBER(F206),ISNUMBER(D206)),1,0)</f>
        <v>1</v>
      </c>
      <c r="H206" s="7" t="str">
        <f aca="false">IFERROR(INDEX(CHECKS!$F$2:$F$2000,MATCH(C206,CHECKS!$A$2:$A$2000,0))&amp;"","")</f>
        <v>W04</v>
      </c>
      <c r="I206" s="7" t="n">
        <f aca="false">IF(H206="","",IF(COUNTIFS(SCORES!$A$2:$A$2000,A206,SCORES!$B$2:$B$2000,B206,SCORES!$C$2:$C$2000,H206,SCORES!$D$2:$D$2000,"&gt;=0")&gt;0,SUMIFS(SCORES!$D$2:$D$2000,SCORES!$A$2:$A$2000,A206,SCORES!$B$2:$B$2000,B206,SCORES!$C$2:$C$2000,H206),""))</f>
        <v>2</v>
      </c>
      <c r="J206" s="7" t="n">
        <f aca="false">IF(AND(ISNUMBER(I206),ISNUMBER(E206)),1,0)</f>
        <v>1</v>
      </c>
    </row>
    <row r="207" customFormat="false" ht="15" hidden="false" customHeight="false" outlineLevel="0" collapsed="false">
      <c r="A207" s="8" t="s">
        <v>89</v>
      </c>
      <c r="B207" s="8" t="s">
        <v>68</v>
      </c>
      <c r="C207" s="8" t="s">
        <v>29</v>
      </c>
      <c r="D207" s="8" t="n">
        <v>3</v>
      </c>
      <c r="E207" s="8" t="n">
        <v>1</v>
      </c>
      <c r="F207" s="10" t="n">
        <f aca="false">IF(COUNTIFS(SCORES!$A$2:$A$2000,A207,SCORES!$B$2:$B$2000,B207,SCORES!$C$2:$C$2000,C207,SCORES!$D$2:$D$2000,"&gt;=0")&gt;0,SUMIFS(SCORES!$D$2:$D$2000,SCORES!$A$2:$A$2000,A207,SCORES!$B$2:$B$2000,B207,SCORES!$C$2:$C$2000,C207),"")</f>
        <v>3</v>
      </c>
      <c r="G207" s="10" t="n">
        <f aca="false">IF(AND(ISNUMBER(F207),ISNUMBER(D207)),1,0)</f>
        <v>1</v>
      </c>
      <c r="H207" s="10" t="str">
        <f aca="false">IFERROR(INDEX(CHECKS!$F$2:$F$2000,MATCH(C207,CHECKS!$A$2:$A$2000,0))&amp;"","")</f>
        <v>W04</v>
      </c>
      <c r="I207" s="10" t="n">
        <f aca="false">IF(H207="","",IF(COUNTIFS(SCORES!$A$2:$A$2000,A207,SCORES!$B$2:$B$2000,B207,SCORES!$C$2:$C$2000,H207,SCORES!$D$2:$D$2000,"&gt;=0")&gt;0,SUMIFS(SCORES!$D$2:$D$2000,SCORES!$A$2:$A$2000,A207,SCORES!$B$2:$B$2000,B207,SCORES!$C$2:$C$2000,H207),""))</f>
        <v>4</v>
      </c>
      <c r="J207" s="10" t="n">
        <f aca="false">IF(AND(ISNUMBER(I207),ISNUMBER(E207)),1,0)</f>
        <v>1</v>
      </c>
    </row>
    <row r="208" customFormat="false" ht="15" hidden="false" customHeight="false" outlineLevel="0" collapsed="false">
      <c r="A208" s="5" t="s">
        <v>90</v>
      </c>
      <c r="B208" s="5" t="s">
        <v>68</v>
      </c>
      <c r="C208" s="5" t="s">
        <v>29</v>
      </c>
      <c r="D208" s="5" t="n">
        <v>1</v>
      </c>
      <c r="E208" s="5" t="n">
        <v>0</v>
      </c>
      <c r="F208" s="7" t="n">
        <f aca="false">IF(COUNTIFS(SCORES!$A$2:$A$2000,A208,SCORES!$B$2:$B$2000,B208,SCORES!$C$2:$C$2000,C208,SCORES!$D$2:$D$2000,"&gt;=0")&gt;0,SUMIFS(SCORES!$D$2:$D$2000,SCORES!$A$2:$A$2000,A208,SCORES!$B$2:$B$2000,B208,SCORES!$C$2:$C$2000,C208),"")</f>
        <v>3</v>
      </c>
      <c r="G208" s="7" t="n">
        <f aca="false">IF(AND(ISNUMBER(F208),ISNUMBER(D208)),1,0)</f>
        <v>1</v>
      </c>
      <c r="H208" s="7" t="str">
        <f aca="false">IFERROR(INDEX(CHECKS!$F$2:$F$2000,MATCH(C208,CHECKS!$A$2:$A$2000,0))&amp;"","")</f>
        <v>W04</v>
      </c>
      <c r="I208" s="7" t="n">
        <f aca="false">IF(H208="","",IF(COUNTIFS(SCORES!$A$2:$A$2000,A208,SCORES!$B$2:$B$2000,B208,SCORES!$C$2:$C$2000,H208,SCORES!$D$2:$D$2000,"&gt;=0")&gt;0,SUMIFS(SCORES!$D$2:$D$2000,SCORES!$A$2:$A$2000,A208,SCORES!$B$2:$B$2000,B208,SCORES!$C$2:$C$2000,H208),""))</f>
        <v>1</v>
      </c>
      <c r="J208" s="7" t="n">
        <f aca="false">IF(AND(ISNUMBER(I208),ISNUMBER(E208)),1,0)</f>
        <v>1</v>
      </c>
    </row>
    <row r="209" customFormat="false" ht="15" hidden="false" customHeight="false" outlineLevel="0" collapsed="false">
      <c r="A209" s="8" t="s">
        <v>91</v>
      </c>
      <c r="B209" s="8" t="s">
        <v>68</v>
      </c>
      <c r="C209" s="8" t="s">
        <v>29</v>
      </c>
      <c r="D209" s="8" t="n">
        <v>2</v>
      </c>
      <c r="E209" s="8" t="n">
        <v>1</v>
      </c>
      <c r="F209" s="10" t="n">
        <f aca="false">IF(COUNTIFS(SCORES!$A$2:$A$2000,A209,SCORES!$B$2:$B$2000,B209,SCORES!$C$2:$C$2000,C209,SCORES!$D$2:$D$2000,"&gt;=0")&gt;0,SUMIFS(SCORES!$D$2:$D$2000,SCORES!$A$2:$A$2000,A209,SCORES!$B$2:$B$2000,B209,SCORES!$C$2:$C$2000,C209),"")</f>
        <v>4</v>
      </c>
      <c r="G209" s="10" t="n">
        <f aca="false">IF(AND(ISNUMBER(F209),ISNUMBER(D209)),1,0)</f>
        <v>1</v>
      </c>
      <c r="H209" s="10" t="str">
        <f aca="false">IFERROR(INDEX(CHECKS!$F$2:$F$2000,MATCH(C209,CHECKS!$A$2:$A$2000,0))&amp;"","")</f>
        <v>W04</v>
      </c>
      <c r="I209" s="10" t="n">
        <f aca="false">IF(H209="","",IF(COUNTIFS(SCORES!$A$2:$A$2000,A209,SCORES!$B$2:$B$2000,B209,SCORES!$C$2:$C$2000,H209,SCORES!$D$2:$D$2000,"&gt;=0")&gt;0,SUMIFS(SCORES!$D$2:$D$2000,SCORES!$A$2:$A$2000,A209,SCORES!$B$2:$B$2000,B209,SCORES!$C$2:$C$2000,H209),""))</f>
        <v>2</v>
      </c>
      <c r="J209" s="10" t="n">
        <f aca="false">IF(AND(ISNUMBER(I209),ISNUMBER(E209)),1,0)</f>
        <v>1</v>
      </c>
    </row>
    <row r="210" customFormat="false" ht="15" hidden="false" customHeight="false" outlineLevel="0" collapsed="false">
      <c r="A210" s="5" t="s">
        <v>92</v>
      </c>
      <c r="B210" s="5" t="s">
        <v>68</v>
      </c>
      <c r="C210" s="5" t="s">
        <v>29</v>
      </c>
      <c r="D210" s="5" t="n">
        <v>3</v>
      </c>
      <c r="E210" s="5" t="n">
        <v>0</v>
      </c>
      <c r="F210" s="7" t="n">
        <f aca="false">IF(COUNTIFS(SCORES!$A$2:$A$2000,A210,SCORES!$B$2:$B$2000,B210,SCORES!$C$2:$C$2000,C210,SCORES!$D$2:$D$2000,"&gt;=0")&gt;0,SUMIFS(SCORES!$D$2:$D$2000,SCORES!$A$2:$A$2000,A210,SCORES!$B$2:$B$2000,B210,SCORES!$C$2:$C$2000,C210),"")</f>
        <v>5</v>
      </c>
      <c r="G210" s="7" t="n">
        <f aca="false">IF(AND(ISNUMBER(F210),ISNUMBER(D210)),1,0)</f>
        <v>1</v>
      </c>
      <c r="H210" s="7" t="str">
        <f aca="false">IFERROR(INDEX(CHECKS!$F$2:$F$2000,MATCH(C210,CHECKS!$A$2:$A$2000,0))&amp;"","")</f>
        <v>W04</v>
      </c>
      <c r="I210" s="7" t="n">
        <f aca="false">IF(H210="","",IF(COUNTIFS(SCORES!$A$2:$A$2000,A210,SCORES!$B$2:$B$2000,B210,SCORES!$C$2:$C$2000,H210,SCORES!$D$2:$D$2000,"&gt;=0")&gt;0,SUMIFS(SCORES!$D$2:$D$2000,SCORES!$A$2:$A$2000,A210,SCORES!$B$2:$B$2000,B210,SCORES!$C$2:$C$2000,H210),""))</f>
        <v>3</v>
      </c>
      <c r="J210" s="7" t="n">
        <f aca="false">IF(AND(ISNUMBER(I210),ISNUMBER(E210)),1,0)</f>
        <v>1</v>
      </c>
    </row>
    <row r="211" customFormat="false" ht="15" hidden="false" customHeight="false" outlineLevel="0" collapsed="false">
      <c r="A211" s="8" t="s">
        <v>93</v>
      </c>
      <c r="B211" s="8" t="s">
        <v>68</v>
      </c>
      <c r="C211" s="8" t="s">
        <v>29</v>
      </c>
      <c r="D211" s="8" t="n">
        <v>3</v>
      </c>
      <c r="E211" s="8" t="n">
        <v>0</v>
      </c>
      <c r="F211" s="10" t="n">
        <f aca="false">IF(COUNTIFS(SCORES!$A$2:$A$2000,A211,SCORES!$B$2:$B$2000,B211,SCORES!$C$2:$C$2000,C211,SCORES!$D$2:$D$2000,"&gt;=0")&gt;0,SUMIFS(SCORES!$D$2:$D$2000,SCORES!$A$2:$A$2000,A211,SCORES!$B$2:$B$2000,B211,SCORES!$C$2:$C$2000,C211),"")</f>
        <v>2</v>
      </c>
      <c r="G211" s="10" t="n">
        <f aca="false">IF(AND(ISNUMBER(F211),ISNUMBER(D211)),1,0)</f>
        <v>1</v>
      </c>
      <c r="H211" s="10" t="str">
        <f aca="false">IFERROR(INDEX(CHECKS!$F$2:$F$2000,MATCH(C211,CHECKS!$A$2:$A$2000,0))&amp;"","")</f>
        <v>W04</v>
      </c>
      <c r="I211" s="10" t="n">
        <f aca="false">IF(H211="","",IF(COUNTIFS(SCORES!$A$2:$A$2000,A211,SCORES!$B$2:$B$2000,B211,SCORES!$C$2:$C$2000,H211,SCORES!$D$2:$D$2000,"&gt;=0")&gt;0,SUMIFS(SCORES!$D$2:$D$2000,SCORES!$A$2:$A$2000,A211,SCORES!$B$2:$B$2000,B211,SCORES!$C$2:$C$2000,H211),""))</f>
        <v>3</v>
      </c>
      <c r="J211" s="10" t="n">
        <f aca="false">IF(AND(ISNUMBER(I211),ISNUMBER(E211)),1,0)</f>
        <v>1</v>
      </c>
    </row>
    <row r="212" customFormat="false" ht="15" hidden="false" customHeight="false" outlineLevel="0" collapsed="false">
      <c r="A212" s="5" t="s">
        <v>67</v>
      </c>
      <c r="B212" s="5" t="s">
        <v>94</v>
      </c>
      <c r="C212" s="5" t="s">
        <v>29</v>
      </c>
      <c r="D212" s="5" t="n">
        <v>3</v>
      </c>
      <c r="E212" s="5" t="n">
        <v>1</v>
      </c>
      <c r="F212" s="7" t="n">
        <f aca="false">IF(COUNTIFS(SCORES!$A$2:$A$2000,A212,SCORES!$B$2:$B$2000,B212,SCORES!$C$2:$C$2000,C212,SCORES!$D$2:$D$2000,"&gt;=0")&gt;0,SUMIFS(SCORES!$D$2:$D$2000,SCORES!$A$2:$A$2000,A212,SCORES!$B$2:$B$2000,B212,SCORES!$C$2:$C$2000,C212),"")</f>
        <v>2</v>
      </c>
      <c r="G212" s="7" t="n">
        <f aca="false">IF(AND(ISNUMBER(F212),ISNUMBER(D212)),1,0)</f>
        <v>1</v>
      </c>
      <c r="H212" s="7" t="str">
        <f aca="false">IFERROR(INDEX(CHECKS!$F$2:$F$2000,MATCH(C212,CHECKS!$A$2:$A$2000,0))&amp;"","")</f>
        <v>W04</v>
      </c>
      <c r="I212" s="7" t="n">
        <f aca="false">IF(H212="","",IF(COUNTIFS(SCORES!$A$2:$A$2000,A212,SCORES!$B$2:$B$2000,B212,SCORES!$C$2:$C$2000,H212,SCORES!$D$2:$D$2000,"&gt;=0")&gt;0,SUMIFS(SCORES!$D$2:$D$2000,SCORES!$A$2:$A$2000,A212,SCORES!$B$2:$B$2000,B212,SCORES!$C$2:$C$2000,H212),""))</f>
        <v>5</v>
      </c>
      <c r="J212" s="7" t="n">
        <f aca="false">IF(AND(ISNUMBER(I212),ISNUMBER(E212)),1,0)</f>
        <v>1</v>
      </c>
    </row>
    <row r="213" customFormat="false" ht="15" hidden="false" customHeight="false" outlineLevel="0" collapsed="false">
      <c r="A213" s="8" t="s">
        <v>69</v>
      </c>
      <c r="B213" s="8" t="s">
        <v>94</v>
      </c>
      <c r="C213" s="8" t="s">
        <v>29</v>
      </c>
      <c r="D213" s="8" t="n">
        <v>1</v>
      </c>
      <c r="E213" s="8" t="n">
        <v>1</v>
      </c>
      <c r="F213" s="10" t="n">
        <f aca="false">IF(COUNTIFS(SCORES!$A$2:$A$2000,A213,SCORES!$B$2:$B$2000,B213,SCORES!$C$2:$C$2000,C213,SCORES!$D$2:$D$2000,"&gt;=0")&gt;0,SUMIFS(SCORES!$D$2:$D$2000,SCORES!$A$2:$A$2000,A213,SCORES!$B$2:$B$2000,B213,SCORES!$C$2:$C$2000,C213),"")</f>
        <v>5</v>
      </c>
      <c r="G213" s="10" t="n">
        <f aca="false">IF(AND(ISNUMBER(F213),ISNUMBER(D213)),1,0)</f>
        <v>1</v>
      </c>
      <c r="H213" s="10" t="str">
        <f aca="false">IFERROR(INDEX(CHECKS!$F$2:$F$2000,MATCH(C213,CHECKS!$A$2:$A$2000,0))&amp;"","")</f>
        <v>W04</v>
      </c>
      <c r="I213" s="10" t="n">
        <f aca="false">IF(H213="","",IF(COUNTIFS(SCORES!$A$2:$A$2000,A213,SCORES!$B$2:$B$2000,B213,SCORES!$C$2:$C$2000,H213,SCORES!$D$2:$D$2000,"&gt;=0")&gt;0,SUMIFS(SCORES!$D$2:$D$2000,SCORES!$A$2:$A$2000,A213,SCORES!$B$2:$B$2000,B213,SCORES!$C$2:$C$2000,H213),""))</f>
        <v>2</v>
      </c>
      <c r="J213" s="10" t="n">
        <f aca="false">IF(AND(ISNUMBER(I213),ISNUMBER(E213)),1,0)</f>
        <v>1</v>
      </c>
    </row>
    <row r="214" customFormat="false" ht="15" hidden="false" customHeight="false" outlineLevel="0" collapsed="false">
      <c r="A214" s="5" t="s">
        <v>71</v>
      </c>
      <c r="B214" s="5" t="s">
        <v>94</v>
      </c>
      <c r="C214" s="5" t="s">
        <v>29</v>
      </c>
      <c r="D214" s="5" t="n">
        <v>3</v>
      </c>
      <c r="E214" s="5" t="n">
        <v>2</v>
      </c>
      <c r="F214" s="7" t="n">
        <f aca="false">IF(COUNTIFS(SCORES!$A$2:$A$2000,A214,SCORES!$B$2:$B$2000,B214,SCORES!$C$2:$C$2000,C214,SCORES!$D$2:$D$2000,"&gt;=0")&gt;0,SUMIFS(SCORES!$D$2:$D$2000,SCORES!$A$2:$A$2000,A214,SCORES!$B$2:$B$2000,B214,SCORES!$C$2:$C$2000,C214),"")</f>
        <v>5</v>
      </c>
      <c r="G214" s="7" t="n">
        <f aca="false">IF(AND(ISNUMBER(F214),ISNUMBER(D214)),1,0)</f>
        <v>1</v>
      </c>
      <c r="H214" s="7" t="str">
        <f aca="false">IFERROR(INDEX(CHECKS!$F$2:$F$2000,MATCH(C214,CHECKS!$A$2:$A$2000,0))&amp;"","")</f>
        <v>W04</v>
      </c>
      <c r="I214" s="7" t="n">
        <f aca="false">IF(H214="","",IF(COUNTIFS(SCORES!$A$2:$A$2000,A214,SCORES!$B$2:$B$2000,B214,SCORES!$C$2:$C$2000,H214,SCORES!$D$2:$D$2000,"&gt;=0")&gt;0,SUMIFS(SCORES!$D$2:$D$2000,SCORES!$A$2:$A$2000,A214,SCORES!$B$2:$B$2000,B214,SCORES!$C$2:$C$2000,H214),""))</f>
        <v>4</v>
      </c>
      <c r="J214" s="7" t="n">
        <f aca="false">IF(AND(ISNUMBER(I214),ISNUMBER(E214)),1,0)</f>
        <v>1</v>
      </c>
    </row>
    <row r="215" customFormat="false" ht="15" hidden="false" customHeight="false" outlineLevel="0" collapsed="false">
      <c r="A215" s="8" t="s">
        <v>72</v>
      </c>
      <c r="B215" s="8" t="s">
        <v>94</v>
      </c>
      <c r="C215" s="8" t="s">
        <v>29</v>
      </c>
      <c r="D215" s="8" t="n">
        <v>3</v>
      </c>
      <c r="E215" s="8" t="n">
        <v>2</v>
      </c>
      <c r="F215" s="10" t="n">
        <f aca="false">IF(COUNTIFS(SCORES!$A$2:$A$2000,A215,SCORES!$B$2:$B$2000,B215,SCORES!$C$2:$C$2000,C215,SCORES!$D$2:$D$2000,"&gt;=0")&gt;0,SUMIFS(SCORES!$D$2:$D$2000,SCORES!$A$2:$A$2000,A215,SCORES!$B$2:$B$2000,B215,SCORES!$C$2:$C$2000,C215),"")</f>
        <v>3</v>
      </c>
      <c r="G215" s="10" t="n">
        <f aca="false">IF(AND(ISNUMBER(F215),ISNUMBER(D215)),1,0)</f>
        <v>1</v>
      </c>
      <c r="H215" s="10" t="str">
        <f aca="false">IFERROR(INDEX(CHECKS!$F$2:$F$2000,MATCH(C215,CHECKS!$A$2:$A$2000,0))&amp;"","")</f>
        <v>W04</v>
      </c>
      <c r="I215" s="10" t="n">
        <f aca="false">IF(H215="","",IF(COUNTIFS(SCORES!$A$2:$A$2000,A215,SCORES!$B$2:$B$2000,B215,SCORES!$C$2:$C$2000,H215,SCORES!$D$2:$D$2000,"&gt;=0")&gt;0,SUMIFS(SCORES!$D$2:$D$2000,SCORES!$A$2:$A$2000,A215,SCORES!$B$2:$B$2000,B215,SCORES!$C$2:$C$2000,H215),""))</f>
        <v>2</v>
      </c>
      <c r="J215" s="10" t="n">
        <f aca="false">IF(AND(ISNUMBER(I215),ISNUMBER(E215)),1,0)</f>
        <v>1</v>
      </c>
    </row>
    <row r="216" customFormat="false" ht="15" hidden="false" customHeight="false" outlineLevel="0" collapsed="false">
      <c r="A216" s="5" t="s">
        <v>73</v>
      </c>
      <c r="B216" s="5" t="s">
        <v>94</v>
      </c>
      <c r="C216" s="5" t="s">
        <v>29</v>
      </c>
      <c r="D216" s="5" t="n">
        <v>3</v>
      </c>
      <c r="E216" s="5" t="n">
        <v>1</v>
      </c>
      <c r="F216" s="7" t="n">
        <f aca="false">IF(COUNTIFS(SCORES!$A$2:$A$2000,A216,SCORES!$B$2:$B$2000,B216,SCORES!$C$2:$C$2000,C216,SCORES!$D$2:$D$2000,"&gt;=0")&gt;0,SUMIFS(SCORES!$D$2:$D$2000,SCORES!$A$2:$A$2000,A216,SCORES!$B$2:$B$2000,B216,SCORES!$C$2:$C$2000,C216),"")</f>
        <v>4</v>
      </c>
      <c r="G216" s="7" t="n">
        <f aca="false">IF(AND(ISNUMBER(F216),ISNUMBER(D216)),1,0)</f>
        <v>1</v>
      </c>
      <c r="H216" s="7" t="str">
        <f aca="false">IFERROR(INDEX(CHECKS!$F$2:$F$2000,MATCH(C216,CHECKS!$A$2:$A$2000,0))&amp;"","")</f>
        <v>W04</v>
      </c>
      <c r="I216" s="7" t="n">
        <f aca="false">IF(H216="","",IF(COUNTIFS(SCORES!$A$2:$A$2000,A216,SCORES!$B$2:$B$2000,B216,SCORES!$C$2:$C$2000,H216,SCORES!$D$2:$D$2000,"&gt;=0")&gt;0,SUMIFS(SCORES!$D$2:$D$2000,SCORES!$A$2:$A$2000,A216,SCORES!$B$2:$B$2000,B216,SCORES!$C$2:$C$2000,H216),""))</f>
        <v>3</v>
      </c>
      <c r="J216" s="7" t="n">
        <f aca="false">IF(AND(ISNUMBER(I216),ISNUMBER(E216)),1,0)</f>
        <v>1</v>
      </c>
    </row>
    <row r="217" customFormat="false" ht="15" hidden="false" customHeight="false" outlineLevel="0" collapsed="false">
      <c r="A217" s="8" t="s">
        <v>74</v>
      </c>
      <c r="B217" s="8" t="s">
        <v>94</v>
      </c>
      <c r="C217" s="8" t="s">
        <v>29</v>
      </c>
      <c r="D217" s="8" t="n">
        <v>2</v>
      </c>
      <c r="E217" s="8" t="n">
        <v>1</v>
      </c>
      <c r="F217" s="10" t="n">
        <f aca="false">IF(COUNTIFS(SCORES!$A$2:$A$2000,A217,SCORES!$B$2:$B$2000,B217,SCORES!$C$2:$C$2000,C217,SCORES!$D$2:$D$2000,"&gt;=0")&gt;0,SUMIFS(SCORES!$D$2:$D$2000,SCORES!$A$2:$A$2000,A217,SCORES!$B$2:$B$2000,B217,SCORES!$C$2:$C$2000,C217),"")</f>
        <v>2</v>
      </c>
      <c r="G217" s="10" t="n">
        <f aca="false">IF(AND(ISNUMBER(F217),ISNUMBER(D217)),1,0)</f>
        <v>1</v>
      </c>
      <c r="H217" s="10" t="str">
        <f aca="false">IFERROR(INDEX(CHECKS!$F$2:$F$2000,MATCH(C217,CHECKS!$A$2:$A$2000,0))&amp;"","")</f>
        <v>W04</v>
      </c>
      <c r="I217" s="10" t="n">
        <f aca="false">IF(H217="","",IF(COUNTIFS(SCORES!$A$2:$A$2000,A217,SCORES!$B$2:$B$2000,B217,SCORES!$C$2:$C$2000,H217,SCORES!$D$2:$D$2000,"&gt;=0")&gt;0,SUMIFS(SCORES!$D$2:$D$2000,SCORES!$A$2:$A$2000,A217,SCORES!$B$2:$B$2000,B217,SCORES!$C$2:$C$2000,H217),""))</f>
        <v>2</v>
      </c>
      <c r="J217" s="10" t="n">
        <f aca="false">IF(AND(ISNUMBER(I217),ISNUMBER(E217)),1,0)</f>
        <v>1</v>
      </c>
    </row>
    <row r="218" customFormat="false" ht="15" hidden="false" customHeight="false" outlineLevel="0" collapsed="false">
      <c r="A218" s="5" t="s">
        <v>75</v>
      </c>
      <c r="B218" s="5" t="s">
        <v>94</v>
      </c>
      <c r="C218" s="5" t="s">
        <v>29</v>
      </c>
      <c r="D218" s="5" t="n">
        <v>2</v>
      </c>
      <c r="E218" s="5" t="n">
        <v>0</v>
      </c>
      <c r="F218" s="7" t="n">
        <f aca="false">IF(COUNTIFS(SCORES!$A$2:$A$2000,A218,SCORES!$B$2:$B$2000,B218,SCORES!$C$2:$C$2000,C218,SCORES!$D$2:$D$2000,"&gt;=0")&gt;0,SUMIFS(SCORES!$D$2:$D$2000,SCORES!$A$2:$A$2000,A218,SCORES!$B$2:$B$2000,B218,SCORES!$C$2:$C$2000,C218),"")</f>
        <v>2</v>
      </c>
      <c r="G218" s="7" t="n">
        <f aca="false">IF(AND(ISNUMBER(F218),ISNUMBER(D218)),1,0)</f>
        <v>1</v>
      </c>
      <c r="H218" s="7" t="str">
        <f aca="false">IFERROR(INDEX(CHECKS!$F$2:$F$2000,MATCH(C218,CHECKS!$A$2:$A$2000,0))&amp;"","")</f>
        <v>W04</v>
      </c>
      <c r="I218" s="7" t="n">
        <f aca="false">IF(H218="","",IF(COUNTIFS(SCORES!$A$2:$A$2000,A218,SCORES!$B$2:$B$2000,B218,SCORES!$C$2:$C$2000,H218,SCORES!$D$2:$D$2000,"&gt;=0")&gt;0,SUMIFS(SCORES!$D$2:$D$2000,SCORES!$A$2:$A$2000,A218,SCORES!$B$2:$B$2000,B218,SCORES!$C$2:$C$2000,H218),""))</f>
        <v>3</v>
      </c>
      <c r="J218" s="7" t="n">
        <f aca="false">IF(AND(ISNUMBER(I218),ISNUMBER(E218)),1,0)</f>
        <v>1</v>
      </c>
    </row>
    <row r="219" customFormat="false" ht="15" hidden="false" customHeight="false" outlineLevel="0" collapsed="false">
      <c r="A219" s="8" t="s">
        <v>76</v>
      </c>
      <c r="B219" s="8" t="s">
        <v>94</v>
      </c>
      <c r="C219" s="8" t="s">
        <v>29</v>
      </c>
      <c r="D219" s="8" t="n">
        <v>1</v>
      </c>
      <c r="E219" s="8" t="n">
        <v>1</v>
      </c>
      <c r="F219" s="10" t="n">
        <f aca="false">IF(COUNTIFS(SCORES!$A$2:$A$2000,A219,SCORES!$B$2:$B$2000,B219,SCORES!$C$2:$C$2000,C219,SCORES!$D$2:$D$2000,"&gt;=0")&gt;0,SUMIFS(SCORES!$D$2:$D$2000,SCORES!$A$2:$A$2000,A219,SCORES!$B$2:$B$2000,B219,SCORES!$C$2:$C$2000,C219),"")</f>
        <v>3</v>
      </c>
      <c r="G219" s="10" t="n">
        <f aca="false">IF(AND(ISNUMBER(F219),ISNUMBER(D219)),1,0)</f>
        <v>1</v>
      </c>
      <c r="H219" s="10" t="str">
        <f aca="false">IFERROR(INDEX(CHECKS!$F$2:$F$2000,MATCH(C219,CHECKS!$A$2:$A$2000,0))&amp;"","")</f>
        <v>W04</v>
      </c>
      <c r="I219" s="10" t="n">
        <f aca="false">IF(H219="","",IF(COUNTIFS(SCORES!$A$2:$A$2000,A219,SCORES!$B$2:$B$2000,B219,SCORES!$C$2:$C$2000,H219,SCORES!$D$2:$D$2000,"&gt;=0")&gt;0,SUMIFS(SCORES!$D$2:$D$2000,SCORES!$A$2:$A$2000,A219,SCORES!$B$2:$B$2000,B219,SCORES!$C$2:$C$2000,H219),""))</f>
        <v>1</v>
      </c>
      <c r="J219" s="10" t="n">
        <f aca="false">IF(AND(ISNUMBER(I219),ISNUMBER(E219)),1,0)</f>
        <v>1</v>
      </c>
    </row>
    <row r="220" customFormat="false" ht="15" hidden="false" customHeight="false" outlineLevel="0" collapsed="false">
      <c r="A220" s="5" t="s">
        <v>77</v>
      </c>
      <c r="B220" s="5" t="s">
        <v>94</v>
      </c>
      <c r="C220" s="5" t="s">
        <v>29</v>
      </c>
      <c r="D220" s="5" t="n">
        <v>3</v>
      </c>
      <c r="E220" s="5" t="n">
        <v>0</v>
      </c>
      <c r="F220" s="7" t="n">
        <f aca="false">IF(COUNTIFS(SCORES!$A$2:$A$2000,A220,SCORES!$B$2:$B$2000,B220,SCORES!$C$2:$C$2000,C220,SCORES!$D$2:$D$2000,"&gt;=0")&gt;0,SUMIFS(SCORES!$D$2:$D$2000,SCORES!$A$2:$A$2000,A220,SCORES!$B$2:$B$2000,B220,SCORES!$C$2:$C$2000,C220),"")</f>
        <v>3</v>
      </c>
      <c r="G220" s="7" t="n">
        <f aca="false">IF(AND(ISNUMBER(F220),ISNUMBER(D220)),1,0)</f>
        <v>1</v>
      </c>
      <c r="H220" s="7" t="str">
        <f aca="false">IFERROR(INDEX(CHECKS!$F$2:$F$2000,MATCH(C220,CHECKS!$A$2:$A$2000,0))&amp;"","")</f>
        <v>W04</v>
      </c>
      <c r="I220" s="7" t="n">
        <f aca="false">IF(H220="","",IF(COUNTIFS(SCORES!$A$2:$A$2000,A220,SCORES!$B$2:$B$2000,B220,SCORES!$C$2:$C$2000,H220,SCORES!$D$2:$D$2000,"&gt;=0")&gt;0,SUMIFS(SCORES!$D$2:$D$2000,SCORES!$A$2:$A$2000,A220,SCORES!$B$2:$B$2000,B220,SCORES!$C$2:$C$2000,H220),""))</f>
        <v>4</v>
      </c>
      <c r="J220" s="7" t="n">
        <f aca="false">IF(AND(ISNUMBER(I220),ISNUMBER(E220)),1,0)</f>
        <v>1</v>
      </c>
    </row>
    <row r="221" customFormat="false" ht="15" hidden="false" customHeight="false" outlineLevel="0" collapsed="false">
      <c r="A221" s="8" t="s">
        <v>78</v>
      </c>
      <c r="B221" s="8" t="s">
        <v>94</v>
      </c>
      <c r="C221" s="8" t="s">
        <v>29</v>
      </c>
      <c r="D221" s="8" t="n">
        <v>3</v>
      </c>
      <c r="E221" s="8" t="n">
        <v>1</v>
      </c>
      <c r="F221" s="10" t="n">
        <f aca="false">IF(COUNTIFS(SCORES!$A$2:$A$2000,A221,SCORES!$B$2:$B$2000,B221,SCORES!$C$2:$C$2000,C221,SCORES!$D$2:$D$2000,"&gt;=0")&gt;0,SUMIFS(SCORES!$D$2:$D$2000,SCORES!$A$2:$A$2000,A221,SCORES!$B$2:$B$2000,B221,SCORES!$C$2:$C$2000,C221),"")</f>
        <v>3</v>
      </c>
      <c r="G221" s="10" t="n">
        <f aca="false">IF(AND(ISNUMBER(F221),ISNUMBER(D221)),1,0)</f>
        <v>1</v>
      </c>
      <c r="H221" s="10" t="str">
        <f aca="false">IFERROR(INDEX(CHECKS!$F$2:$F$2000,MATCH(C221,CHECKS!$A$2:$A$2000,0))&amp;"","")</f>
        <v>W04</v>
      </c>
      <c r="I221" s="10" t="n">
        <f aca="false">IF(H221="","",IF(COUNTIFS(SCORES!$A$2:$A$2000,A221,SCORES!$B$2:$B$2000,B221,SCORES!$C$2:$C$2000,H221,SCORES!$D$2:$D$2000,"&gt;=0")&gt;0,SUMIFS(SCORES!$D$2:$D$2000,SCORES!$A$2:$A$2000,A221,SCORES!$B$2:$B$2000,B221,SCORES!$C$2:$C$2000,H221),""))</f>
        <v>2</v>
      </c>
      <c r="J221" s="10" t="n">
        <f aca="false">IF(AND(ISNUMBER(I221),ISNUMBER(E221)),1,0)</f>
        <v>1</v>
      </c>
    </row>
    <row r="222" customFormat="false" ht="15" hidden="false" customHeight="false" outlineLevel="0" collapsed="false">
      <c r="A222" s="5" t="s">
        <v>79</v>
      </c>
      <c r="B222" s="5" t="s">
        <v>94</v>
      </c>
      <c r="C222" s="5" t="s">
        <v>29</v>
      </c>
      <c r="D222" s="5" t="n">
        <v>1</v>
      </c>
      <c r="E222" s="5" t="n">
        <v>1</v>
      </c>
      <c r="F222" s="7" t="n">
        <f aca="false">IF(COUNTIFS(SCORES!$A$2:$A$2000,A222,SCORES!$B$2:$B$2000,B222,SCORES!$C$2:$C$2000,C222,SCORES!$D$2:$D$2000,"&gt;=0")&gt;0,SUMIFS(SCORES!$D$2:$D$2000,SCORES!$A$2:$A$2000,A222,SCORES!$B$2:$B$2000,B222,SCORES!$C$2:$C$2000,C222),"")</f>
        <v>4</v>
      </c>
      <c r="G222" s="7" t="n">
        <f aca="false">IF(AND(ISNUMBER(F222),ISNUMBER(D222)),1,0)</f>
        <v>1</v>
      </c>
      <c r="H222" s="7" t="str">
        <f aca="false">IFERROR(INDEX(CHECKS!$F$2:$F$2000,MATCH(C222,CHECKS!$A$2:$A$2000,0))&amp;"","")</f>
        <v>W04</v>
      </c>
      <c r="I222" s="7" t="n">
        <f aca="false">IF(H222="","",IF(COUNTIFS(SCORES!$A$2:$A$2000,A222,SCORES!$B$2:$B$2000,B222,SCORES!$C$2:$C$2000,H222,SCORES!$D$2:$D$2000,"&gt;=0")&gt;0,SUMIFS(SCORES!$D$2:$D$2000,SCORES!$A$2:$A$2000,A222,SCORES!$B$2:$B$2000,B222,SCORES!$C$2:$C$2000,H222),""))</f>
        <v>4</v>
      </c>
      <c r="J222" s="7" t="n">
        <f aca="false">IF(AND(ISNUMBER(I222),ISNUMBER(E222)),1,0)</f>
        <v>1</v>
      </c>
    </row>
    <row r="223" customFormat="false" ht="15" hidden="false" customHeight="false" outlineLevel="0" collapsed="false">
      <c r="A223" s="8" t="s">
        <v>80</v>
      </c>
      <c r="B223" s="8" t="s">
        <v>94</v>
      </c>
      <c r="C223" s="8" t="s">
        <v>29</v>
      </c>
      <c r="D223" s="8" t="n">
        <v>2</v>
      </c>
      <c r="E223" s="8" t="n">
        <v>0</v>
      </c>
      <c r="F223" s="10" t="n">
        <f aca="false">IF(COUNTIFS(SCORES!$A$2:$A$2000,A223,SCORES!$B$2:$B$2000,B223,SCORES!$C$2:$C$2000,C223,SCORES!$D$2:$D$2000,"&gt;=0")&gt;0,SUMIFS(SCORES!$D$2:$D$2000,SCORES!$A$2:$A$2000,A223,SCORES!$B$2:$B$2000,B223,SCORES!$C$2:$C$2000,C223),"")</f>
        <v>2</v>
      </c>
      <c r="G223" s="10" t="n">
        <f aca="false">IF(AND(ISNUMBER(F223),ISNUMBER(D223)),1,0)</f>
        <v>1</v>
      </c>
      <c r="H223" s="10" t="str">
        <f aca="false">IFERROR(INDEX(CHECKS!$F$2:$F$2000,MATCH(C223,CHECKS!$A$2:$A$2000,0))&amp;"","")</f>
        <v>W04</v>
      </c>
      <c r="I223" s="10" t="n">
        <f aca="false">IF(H223="","",IF(COUNTIFS(SCORES!$A$2:$A$2000,A223,SCORES!$B$2:$B$2000,B223,SCORES!$C$2:$C$2000,H223,SCORES!$D$2:$D$2000,"&gt;=0")&gt;0,SUMIFS(SCORES!$D$2:$D$2000,SCORES!$A$2:$A$2000,A223,SCORES!$B$2:$B$2000,B223,SCORES!$C$2:$C$2000,H223),""))</f>
        <v>2</v>
      </c>
      <c r="J223" s="10" t="n">
        <f aca="false">IF(AND(ISNUMBER(I223),ISNUMBER(E223)),1,0)</f>
        <v>1</v>
      </c>
    </row>
    <row r="224" customFormat="false" ht="15" hidden="false" customHeight="false" outlineLevel="0" collapsed="false">
      <c r="A224" s="5" t="s">
        <v>81</v>
      </c>
      <c r="B224" s="5" t="s">
        <v>94</v>
      </c>
      <c r="C224" s="5" t="s">
        <v>29</v>
      </c>
      <c r="D224" s="5" t="n">
        <v>1</v>
      </c>
      <c r="E224" s="5" t="n">
        <v>0</v>
      </c>
      <c r="F224" s="7" t="n">
        <f aca="false">IF(COUNTIFS(SCORES!$A$2:$A$2000,A224,SCORES!$B$2:$B$2000,B224,SCORES!$C$2:$C$2000,C224,SCORES!$D$2:$D$2000,"&gt;=0")&gt;0,SUMIFS(SCORES!$D$2:$D$2000,SCORES!$A$2:$A$2000,A224,SCORES!$B$2:$B$2000,B224,SCORES!$C$2:$C$2000,C224),"")</f>
        <v>3</v>
      </c>
      <c r="G224" s="7" t="n">
        <f aca="false">IF(AND(ISNUMBER(F224),ISNUMBER(D224)),1,0)</f>
        <v>1</v>
      </c>
      <c r="H224" s="7" t="str">
        <f aca="false">IFERROR(INDEX(CHECKS!$F$2:$F$2000,MATCH(C224,CHECKS!$A$2:$A$2000,0))&amp;"","")</f>
        <v>W04</v>
      </c>
      <c r="I224" s="7" t="n">
        <f aca="false">IF(H224="","",IF(COUNTIFS(SCORES!$A$2:$A$2000,A224,SCORES!$B$2:$B$2000,B224,SCORES!$C$2:$C$2000,H224,SCORES!$D$2:$D$2000,"&gt;=0")&gt;0,SUMIFS(SCORES!$D$2:$D$2000,SCORES!$A$2:$A$2000,A224,SCORES!$B$2:$B$2000,B224,SCORES!$C$2:$C$2000,H224),""))</f>
        <v>0</v>
      </c>
      <c r="J224" s="7" t="n">
        <f aca="false">IF(AND(ISNUMBER(I224),ISNUMBER(E224)),1,0)</f>
        <v>1</v>
      </c>
    </row>
    <row r="225" customFormat="false" ht="15" hidden="false" customHeight="false" outlineLevel="0" collapsed="false">
      <c r="A225" s="8" t="s">
        <v>82</v>
      </c>
      <c r="B225" s="8" t="s">
        <v>94</v>
      </c>
      <c r="C225" s="8" t="s">
        <v>29</v>
      </c>
      <c r="D225" s="8" t="n">
        <v>2</v>
      </c>
      <c r="E225" s="8" t="n">
        <v>0</v>
      </c>
      <c r="F225" s="10" t="str">
        <f aca="false">IF(COUNTIFS(SCORES!$A$2:$A$2000,A225,SCORES!$B$2:$B$2000,B225,SCORES!$C$2:$C$2000,C225,SCORES!$D$2:$D$2000,"&gt;=0")&gt;0,SUMIFS(SCORES!$D$2:$D$2000,SCORES!$A$2:$A$2000,A225,SCORES!$B$2:$B$2000,B225,SCORES!$C$2:$C$2000,C225),"")</f>
        <v/>
      </c>
      <c r="G225" s="10" t="n">
        <f aca="false">IF(AND(ISNUMBER(F225),ISNUMBER(D225)),1,0)</f>
        <v>0</v>
      </c>
      <c r="H225" s="10" t="str">
        <f aca="false">IFERROR(INDEX(CHECKS!$F$2:$F$2000,MATCH(C225,CHECKS!$A$2:$A$2000,0))&amp;"","")</f>
        <v>W04</v>
      </c>
      <c r="I225" s="10" t="n">
        <f aca="false">IF(H225="","",IF(COUNTIFS(SCORES!$A$2:$A$2000,A225,SCORES!$B$2:$B$2000,B225,SCORES!$C$2:$C$2000,H225,SCORES!$D$2:$D$2000,"&gt;=0")&gt;0,SUMIFS(SCORES!$D$2:$D$2000,SCORES!$A$2:$A$2000,A225,SCORES!$B$2:$B$2000,B225,SCORES!$C$2:$C$2000,H225),""))</f>
        <v>2</v>
      </c>
      <c r="J225" s="10" t="n">
        <f aca="false">IF(AND(ISNUMBER(I225),ISNUMBER(E225)),1,0)</f>
        <v>1</v>
      </c>
    </row>
    <row r="226" customFormat="false" ht="15" hidden="false" customHeight="false" outlineLevel="0" collapsed="false">
      <c r="A226" s="5" t="s">
        <v>83</v>
      </c>
      <c r="B226" s="5" t="s">
        <v>94</v>
      </c>
      <c r="C226" s="5" t="s">
        <v>29</v>
      </c>
      <c r="D226" s="5" t="n">
        <v>3</v>
      </c>
      <c r="E226" s="5" t="n">
        <v>2</v>
      </c>
      <c r="F226" s="7" t="n">
        <f aca="false">IF(COUNTIFS(SCORES!$A$2:$A$2000,A226,SCORES!$B$2:$B$2000,B226,SCORES!$C$2:$C$2000,C226,SCORES!$D$2:$D$2000,"&gt;=0")&gt;0,SUMIFS(SCORES!$D$2:$D$2000,SCORES!$A$2:$A$2000,A226,SCORES!$B$2:$B$2000,B226,SCORES!$C$2:$C$2000,C226),"")</f>
        <v>5</v>
      </c>
      <c r="G226" s="7" t="n">
        <f aca="false">IF(AND(ISNUMBER(F226),ISNUMBER(D226)),1,0)</f>
        <v>1</v>
      </c>
      <c r="H226" s="7" t="str">
        <f aca="false">IFERROR(INDEX(CHECKS!$F$2:$F$2000,MATCH(C226,CHECKS!$A$2:$A$2000,0))&amp;"","")</f>
        <v>W04</v>
      </c>
      <c r="I226" s="7" t="n">
        <f aca="false">IF(H226="","",IF(COUNTIFS(SCORES!$A$2:$A$2000,A226,SCORES!$B$2:$B$2000,B226,SCORES!$C$2:$C$2000,H226,SCORES!$D$2:$D$2000,"&gt;=0")&gt;0,SUMIFS(SCORES!$D$2:$D$2000,SCORES!$A$2:$A$2000,A226,SCORES!$B$2:$B$2000,B226,SCORES!$C$2:$C$2000,H226),""))</f>
        <v>3</v>
      </c>
      <c r="J226" s="7" t="n">
        <f aca="false">IF(AND(ISNUMBER(I226),ISNUMBER(E226)),1,0)</f>
        <v>1</v>
      </c>
    </row>
    <row r="227" customFormat="false" ht="15" hidden="false" customHeight="false" outlineLevel="0" collapsed="false">
      <c r="A227" s="8" t="s">
        <v>84</v>
      </c>
      <c r="B227" s="8" t="s">
        <v>94</v>
      </c>
      <c r="C227" s="8" t="s">
        <v>29</v>
      </c>
      <c r="D227" s="8" t="n">
        <v>1</v>
      </c>
      <c r="E227" s="8" t="n">
        <v>0</v>
      </c>
      <c r="F227" s="10" t="n">
        <f aca="false">IF(COUNTIFS(SCORES!$A$2:$A$2000,A227,SCORES!$B$2:$B$2000,B227,SCORES!$C$2:$C$2000,C227,SCORES!$D$2:$D$2000,"&gt;=0")&gt;0,SUMIFS(SCORES!$D$2:$D$2000,SCORES!$A$2:$A$2000,A227,SCORES!$B$2:$B$2000,B227,SCORES!$C$2:$C$2000,C227),"")</f>
        <v>2</v>
      </c>
      <c r="G227" s="10" t="n">
        <f aca="false">IF(AND(ISNUMBER(F227),ISNUMBER(D227)),1,0)</f>
        <v>1</v>
      </c>
      <c r="H227" s="10" t="str">
        <f aca="false">IFERROR(INDEX(CHECKS!$F$2:$F$2000,MATCH(C227,CHECKS!$A$2:$A$2000,0))&amp;"","")</f>
        <v>W04</v>
      </c>
      <c r="I227" s="10" t="n">
        <f aca="false">IF(H227="","",IF(COUNTIFS(SCORES!$A$2:$A$2000,A227,SCORES!$B$2:$B$2000,B227,SCORES!$C$2:$C$2000,H227,SCORES!$D$2:$D$2000,"&gt;=0")&gt;0,SUMIFS(SCORES!$D$2:$D$2000,SCORES!$A$2:$A$2000,A227,SCORES!$B$2:$B$2000,B227,SCORES!$C$2:$C$2000,H227),""))</f>
        <v>1</v>
      </c>
      <c r="J227" s="10" t="n">
        <f aca="false">IF(AND(ISNUMBER(I227),ISNUMBER(E227)),1,0)</f>
        <v>1</v>
      </c>
    </row>
    <row r="228" customFormat="false" ht="15" hidden="false" customHeight="false" outlineLevel="0" collapsed="false">
      <c r="A228" s="5" t="s">
        <v>86</v>
      </c>
      <c r="B228" s="5" t="s">
        <v>94</v>
      </c>
      <c r="C228" s="5" t="s">
        <v>29</v>
      </c>
      <c r="D228" s="5" t="n">
        <v>3</v>
      </c>
      <c r="E228" s="5" t="n">
        <v>1</v>
      </c>
      <c r="F228" s="7" t="n">
        <f aca="false">IF(COUNTIFS(SCORES!$A$2:$A$2000,A228,SCORES!$B$2:$B$2000,B228,SCORES!$C$2:$C$2000,C228,SCORES!$D$2:$D$2000,"&gt;=0")&gt;0,SUMIFS(SCORES!$D$2:$D$2000,SCORES!$A$2:$A$2000,A228,SCORES!$B$2:$B$2000,B228,SCORES!$C$2:$C$2000,C228),"")</f>
        <v>4</v>
      </c>
      <c r="G228" s="7" t="n">
        <f aca="false">IF(AND(ISNUMBER(F228),ISNUMBER(D228)),1,0)</f>
        <v>1</v>
      </c>
      <c r="H228" s="7" t="str">
        <f aca="false">IFERROR(INDEX(CHECKS!$F$2:$F$2000,MATCH(C228,CHECKS!$A$2:$A$2000,0))&amp;"","")</f>
        <v>W04</v>
      </c>
      <c r="I228" s="7" t="n">
        <f aca="false">IF(H228="","",IF(COUNTIFS(SCORES!$A$2:$A$2000,A228,SCORES!$B$2:$B$2000,B228,SCORES!$C$2:$C$2000,H228,SCORES!$D$2:$D$2000,"&gt;=0")&gt;0,SUMIFS(SCORES!$D$2:$D$2000,SCORES!$A$2:$A$2000,A228,SCORES!$B$2:$B$2000,B228,SCORES!$C$2:$C$2000,H228),""))</f>
        <v>2</v>
      </c>
      <c r="J228" s="7" t="n">
        <f aca="false">IF(AND(ISNUMBER(I228),ISNUMBER(E228)),1,0)</f>
        <v>1</v>
      </c>
    </row>
    <row r="229" customFormat="false" ht="15" hidden="false" customHeight="false" outlineLevel="0" collapsed="false">
      <c r="A229" s="8" t="s">
        <v>87</v>
      </c>
      <c r="B229" s="8" t="s">
        <v>94</v>
      </c>
      <c r="C229" s="8" t="s">
        <v>29</v>
      </c>
      <c r="D229" s="8" t="n">
        <v>1</v>
      </c>
      <c r="E229" s="8" t="n">
        <v>0</v>
      </c>
      <c r="F229" s="10" t="n">
        <f aca="false">IF(COUNTIFS(SCORES!$A$2:$A$2000,A229,SCORES!$B$2:$B$2000,B229,SCORES!$C$2:$C$2000,C229,SCORES!$D$2:$D$2000,"&gt;=0")&gt;0,SUMIFS(SCORES!$D$2:$D$2000,SCORES!$A$2:$A$2000,A229,SCORES!$B$2:$B$2000,B229,SCORES!$C$2:$C$2000,C229),"")</f>
        <v>1</v>
      </c>
      <c r="G229" s="10" t="n">
        <f aca="false">IF(AND(ISNUMBER(F229),ISNUMBER(D229)),1,0)</f>
        <v>1</v>
      </c>
      <c r="H229" s="10" t="str">
        <f aca="false">IFERROR(INDEX(CHECKS!$F$2:$F$2000,MATCH(C229,CHECKS!$A$2:$A$2000,0))&amp;"","")</f>
        <v>W04</v>
      </c>
      <c r="I229" s="10" t="n">
        <f aca="false">IF(H229="","",IF(COUNTIFS(SCORES!$A$2:$A$2000,A229,SCORES!$B$2:$B$2000,B229,SCORES!$C$2:$C$2000,H229,SCORES!$D$2:$D$2000,"&gt;=0")&gt;0,SUMIFS(SCORES!$D$2:$D$2000,SCORES!$A$2:$A$2000,A229,SCORES!$B$2:$B$2000,B229,SCORES!$C$2:$C$2000,H229),""))</f>
        <v>2</v>
      </c>
      <c r="J229" s="10" t="n">
        <f aca="false">IF(AND(ISNUMBER(I229),ISNUMBER(E229)),1,0)</f>
        <v>1</v>
      </c>
    </row>
    <row r="230" customFormat="false" ht="15" hidden="false" customHeight="false" outlineLevel="0" collapsed="false">
      <c r="A230" s="5" t="s">
        <v>88</v>
      </c>
      <c r="B230" s="5" t="s">
        <v>94</v>
      </c>
      <c r="C230" s="5" t="s">
        <v>29</v>
      </c>
      <c r="D230" s="5" t="n">
        <v>2</v>
      </c>
      <c r="E230" s="5" t="n">
        <v>2</v>
      </c>
      <c r="F230" s="7" t="n">
        <f aca="false">IF(COUNTIFS(SCORES!$A$2:$A$2000,A230,SCORES!$B$2:$B$2000,B230,SCORES!$C$2:$C$2000,C230,SCORES!$D$2:$D$2000,"&gt;=0")&gt;0,SUMIFS(SCORES!$D$2:$D$2000,SCORES!$A$2:$A$2000,A230,SCORES!$B$2:$B$2000,B230,SCORES!$C$2:$C$2000,C230),"")</f>
        <v>3</v>
      </c>
      <c r="G230" s="7" t="n">
        <f aca="false">IF(AND(ISNUMBER(F230),ISNUMBER(D230)),1,0)</f>
        <v>1</v>
      </c>
      <c r="H230" s="7" t="str">
        <f aca="false">IFERROR(INDEX(CHECKS!$F$2:$F$2000,MATCH(C230,CHECKS!$A$2:$A$2000,0))&amp;"","")</f>
        <v>W04</v>
      </c>
      <c r="I230" s="7" t="n">
        <f aca="false">IF(H230="","",IF(COUNTIFS(SCORES!$A$2:$A$2000,A230,SCORES!$B$2:$B$2000,B230,SCORES!$C$2:$C$2000,H230,SCORES!$D$2:$D$2000,"&gt;=0")&gt;0,SUMIFS(SCORES!$D$2:$D$2000,SCORES!$A$2:$A$2000,A230,SCORES!$B$2:$B$2000,B230,SCORES!$C$2:$C$2000,H230),""))</f>
        <v>1</v>
      </c>
      <c r="J230" s="7" t="n">
        <f aca="false">IF(AND(ISNUMBER(I230),ISNUMBER(E230)),1,0)</f>
        <v>1</v>
      </c>
    </row>
    <row r="231" customFormat="false" ht="15" hidden="false" customHeight="false" outlineLevel="0" collapsed="false">
      <c r="A231" s="8" t="s">
        <v>89</v>
      </c>
      <c r="B231" s="8" t="s">
        <v>94</v>
      </c>
      <c r="C231" s="8" t="s">
        <v>29</v>
      </c>
      <c r="D231" s="8" t="n">
        <v>3</v>
      </c>
      <c r="E231" s="8" t="n">
        <v>2</v>
      </c>
      <c r="F231" s="10" t="n">
        <f aca="false">IF(COUNTIFS(SCORES!$A$2:$A$2000,A231,SCORES!$B$2:$B$2000,B231,SCORES!$C$2:$C$2000,C231,SCORES!$D$2:$D$2000,"&gt;=0")&gt;0,SUMIFS(SCORES!$D$2:$D$2000,SCORES!$A$2:$A$2000,A231,SCORES!$B$2:$B$2000,B231,SCORES!$C$2:$C$2000,C231),"")</f>
        <v>5</v>
      </c>
      <c r="G231" s="10" t="n">
        <f aca="false">IF(AND(ISNUMBER(F231),ISNUMBER(D231)),1,0)</f>
        <v>1</v>
      </c>
      <c r="H231" s="10" t="str">
        <f aca="false">IFERROR(INDEX(CHECKS!$F$2:$F$2000,MATCH(C231,CHECKS!$A$2:$A$2000,0))&amp;"","")</f>
        <v>W04</v>
      </c>
      <c r="I231" s="10" t="n">
        <f aca="false">IF(H231="","",IF(COUNTIFS(SCORES!$A$2:$A$2000,A231,SCORES!$B$2:$B$2000,B231,SCORES!$C$2:$C$2000,H231,SCORES!$D$2:$D$2000,"&gt;=0")&gt;0,SUMIFS(SCORES!$D$2:$D$2000,SCORES!$A$2:$A$2000,A231,SCORES!$B$2:$B$2000,B231,SCORES!$C$2:$C$2000,H231),""))</f>
        <v>3</v>
      </c>
      <c r="J231" s="10" t="n">
        <f aca="false">IF(AND(ISNUMBER(I231),ISNUMBER(E231)),1,0)</f>
        <v>1</v>
      </c>
    </row>
    <row r="232" customFormat="false" ht="15" hidden="false" customHeight="false" outlineLevel="0" collapsed="false">
      <c r="A232" s="5" t="s">
        <v>90</v>
      </c>
      <c r="B232" s="5" t="s">
        <v>94</v>
      </c>
      <c r="C232" s="5" t="s">
        <v>29</v>
      </c>
      <c r="D232" s="5" t="n">
        <v>2</v>
      </c>
      <c r="E232" s="5" t="n">
        <v>1</v>
      </c>
      <c r="F232" s="7" t="n">
        <f aca="false">IF(COUNTIFS(SCORES!$A$2:$A$2000,A232,SCORES!$B$2:$B$2000,B232,SCORES!$C$2:$C$2000,C232,SCORES!$D$2:$D$2000,"&gt;=0")&gt;0,SUMIFS(SCORES!$D$2:$D$2000,SCORES!$A$2:$A$2000,A232,SCORES!$B$2:$B$2000,B232,SCORES!$C$2:$C$2000,C232),"")</f>
        <v>0</v>
      </c>
      <c r="G232" s="7" t="n">
        <f aca="false">IF(AND(ISNUMBER(F232),ISNUMBER(D232)),1,0)</f>
        <v>1</v>
      </c>
      <c r="H232" s="7" t="str">
        <f aca="false">IFERROR(INDEX(CHECKS!$F$2:$F$2000,MATCH(C232,CHECKS!$A$2:$A$2000,0))&amp;"","")</f>
        <v>W04</v>
      </c>
      <c r="I232" s="7" t="n">
        <f aca="false">IF(H232="","",IF(COUNTIFS(SCORES!$A$2:$A$2000,A232,SCORES!$B$2:$B$2000,B232,SCORES!$C$2:$C$2000,H232,SCORES!$D$2:$D$2000,"&gt;=0")&gt;0,SUMIFS(SCORES!$D$2:$D$2000,SCORES!$A$2:$A$2000,A232,SCORES!$B$2:$B$2000,B232,SCORES!$C$2:$C$2000,H232),""))</f>
        <v>1</v>
      </c>
      <c r="J232" s="7" t="n">
        <f aca="false">IF(AND(ISNUMBER(I232),ISNUMBER(E232)),1,0)</f>
        <v>1</v>
      </c>
    </row>
    <row r="233" customFormat="false" ht="15" hidden="false" customHeight="false" outlineLevel="0" collapsed="false">
      <c r="A233" s="8" t="s">
        <v>91</v>
      </c>
      <c r="B233" s="8" t="s">
        <v>94</v>
      </c>
      <c r="C233" s="8" t="s">
        <v>29</v>
      </c>
      <c r="D233" s="8" t="n">
        <v>1</v>
      </c>
      <c r="E233" s="8" t="n">
        <v>2</v>
      </c>
      <c r="F233" s="10" t="n">
        <f aca="false">IF(COUNTIFS(SCORES!$A$2:$A$2000,A233,SCORES!$B$2:$B$2000,B233,SCORES!$C$2:$C$2000,C233,SCORES!$D$2:$D$2000,"&gt;=0")&gt;0,SUMIFS(SCORES!$D$2:$D$2000,SCORES!$A$2:$A$2000,A233,SCORES!$B$2:$B$2000,B233,SCORES!$C$2:$C$2000,C233),"")</f>
        <v>2</v>
      </c>
      <c r="G233" s="10" t="n">
        <f aca="false">IF(AND(ISNUMBER(F233),ISNUMBER(D233)),1,0)</f>
        <v>1</v>
      </c>
      <c r="H233" s="10" t="str">
        <f aca="false">IFERROR(INDEX(CHECKS!$F$2:$F$2000,MATCH(C233,CHECKS!$A$2:$A$2000,0))&amp;"","")</f>
        <v>W04</v>
      </c>
      <c r="I233" s="10" t="n">
        <f aca="false">IF(H233="","",IF(COUNTIFS(SCORES!$A$2:$A$2000,A233,SCORES!$B$2:$B$2000,B233,SCORES!$C$2:$C$2000,H233,SCORES!$D$2:$D$2000,"&gt;=0")&gt;0,SUMIFS(SCORES!$D$2:$D$2000,SCORES!$A$2:$A$2000,A233,SCORES!$B$2:$B$2000,B233,SCORES!$C$2:$C$2000,H233),""))</f>
        <v>3</v>
      </c>
      <c r="J233" s="10" t="n">
        <f aca="false">IF(AND(ISNUMBER(I233),ISNUMBER(E233)),1,0)</f>
        <v>1</v>
      </c>
    </row>
    <row r="234" customFormat="false" ht="15" hidden="false" customHeight="false" outlineLevel="0" collapsed="false">
      <c r="A234" s="5" t="s">
        <v>92</v>
      </c>
      <c r="B234" s="5" t="s">
        <v>94</v>
      </c>
      <c r="C234" s="5" t="s">
        <v>29</v>
      </c>
      <c r="D234" s="5" t="n">
        <v>3</v>
      </c>
      <c r="E234" s="5" t="n">
        <v>2</v>
      </c>
      <c r="F234" s="7" t="n">
        <f aca="false">IF(COUNTIFS(SCORES!$A$2:$A$2000,A234,SCORES!$B$2:$B$2000,B234,SCORES!$C$2:$C$2000,C234,SCORES!$D$2:$D$2000,"&gt;=0")&gt;0,SUMIFS(SCORES!$D$2:$D$2000,SCORES!$A$2:$A$2000,A234,SCORES!$B$2:$B$2000,B234,SCORES!$C$2:$C$2000,C234),"")</f>
        <v>2</v>
      </c>
      <c r="G234" s="7" t="n">
        <f aca="false">IF(AND(ISNUMBER(F234),ISNUMBER(D234)),1,0)</f>
        <v>1</v>
      </c>
      <c r="H234" s="7" t="str">
        <f aca="false">IFERROR(INDEX(CHECKS!$F$2:$F$2000,MATCH(C234,CHECKS!$A$2:$A$2000,0))&amp;"","")</f>
        <v>W04</v>
      </c>
      <c r="I234" s="7" t="n">
        <f aca="false">IF(H234="","",IF(COUNTIFS(SCORES!$A$2:$A$2000,A234,SCORES!$B$2:$B$2000,B234,SCORES!$C$2:$C$2000,H234,SCORES!$D$2:$D$2000,"&gt;=0")&gt;0,SUMIFS(SCORES!$D$2:$D$2000,SCORES!$A$2:$A$2000,A234,SCORES!$B$2:$B$2000,B234,SCORES!$C$2:$C$2000,H234),""))</f>
        <v>0</v>
      </c>
      <c r="J234" s="7" t="n">
        <f aca="false">IF(AND(ISNUMBER(I234),ISNUMBER(E234)),1,0)</f>
        <v>1</v>
      </c>
    </row>
    <row r="235" customFormat="false" ht="15" hidden="false" customHeight="false" outlineLevel="0" collapsed="false">
      <c r="A235" s="8" t="s">
        <v>93</v>
      </c>
      <c r="B235" s="8" t="s">
        <v>94</v>
      </c>
      <c r="C235" s="8" t="s">
        <v>29</v>
      </c>
      <c r="D235" s="8" t="n">
        <v>2</v>
      </c>
      <c r="E235" s="8" t="n">
        <v>1</v>
      </c>
      <c r="F235" s="10" t="str">
        <f aca="false">IF(COUNTIFS(SCORES!$A$2:$A$2000,A235,SCORES!$B$2:$B$2000,B235,SCORES!$C$2:$C$2000,C235,SCORES!$D$2:$D$2000,"&gt;=0")&gt;0,SUMIFS(SCORES!$D$2:$D$2000,SCORES!$A$2:$A$2000,A235,SCORES!$B$2:$B$2000,B235,SCORES!$C$2:$C$2000,C235),"")</f>
        <v/>
      </c>
      <c r="G235" s="10" t="n">
        <f aca="false">IF(AND(ISNUMBER(F235),ISNUMBER(D235)),1,0)</f>
        <v>0</v>
      </c>
      <c r="H235" s="10" t="str">
        <f aca="false">IFERROR(INDEX(CHECKS!$F$2:$F$2000,MATCH(C235,CHECKS!$A$2:$A$2000,0))&amp;"","")</f>
        <v>W04</v>
      </c>
      <c r="I235" s="10" t="n">
        <f aca="false">IF(H235="","",IF(COUNTIFS(SCORES!$A$2:$A$2000,A235,SCORES!$B$2:$B$2000,B235,SCORES!$C$2:$C$2000,H235,SCORES!$D$2:$D$2000,"&gt;=0")&gt;0,SUMIFS(SCORES!$D$2:$D$2000,SCORES!$A$2:$A$2000,A235,SCORES!$B$2:$B$2000,B235,SCORES!$C$2:$C$2000,H235),""))</f>
        <v>0</v>
      </c>
      <c r="J235" s="10" t="n">
        <f aca="false">IF(AND(ISNUMBER(I235),ISNUMBER(E235)),1,0)</f>
        <v>1</v>
      </c>
    </row>
    <row r="236" customFormat="false" ht="15" hidden="false" customHeight="false" outlineLevel="0" collapsed="false">
      <c r="A236" s="5" t="s">
        <v>67</v>
      </c>
      <c r="B236" s="5" t="s">
        <v>68</v>
      </c>
      <c r="C236" s="5" t="s">
        <v>31</v>
      </c>
      <c r="D236" s="5" t="n">
        <v>1</v>
      </c>
      <c r="E236" s="5" t="n">
        <v>2</v>
      </c>
      <c r="F236" s="7" t="n">
        <f aca="false">IF(COUNTIFS(SCORES!$A$2:$A$2000,A236,SCORES!$B$2:$B$2000,B236,SCORES!$C$2:$C$2000,C236,SCORES!$D$2:$D$2000,"&gt;=0")&gt;0,SUMIFS(SCORES!$D$2:$D$2000,SCORES!$A$2:$A$2000,A236,SCORES!$B$2:$B$2000,B236,SCORES!$C$2:$C$2000,C236),"")</f>
        <v>4</v>
      </c>
      <c r="G236" s="7" t="n">
        <f aca="false">IF(AND(ISNUMBER(F236),ISNUMBER(D236)),1,0)</f>
        <v>1</v>
      </c>
      <c r="H236" s="7" t="str">
        <f aca="false">IFERROR(INDEX(CHECKS!$F$2:$F$2000,MATCH(C236,CHECKS!$A$2:$A$2000,0))&amp;"","")</f>
        <v>W05</v>
      </c>
      <c r="I236" s="7" t="n">
        <f aca="false">IF(H236="","",IF(COUNTIFS(SCORES!$A$2:$A$2000,A236,SCORES!$B$2:$B$2000,B236,SCORES!$C$2:$C$2000,H236,SCORES!$D$2:$D$2000,"&gt;=0")&gt;0,SUMIFS(SCORES!$D$2:$D$2000,SCORES!$A$2:$A$2000,A236,SCORES!$B$2:$B$2000,B236,SCORES!$C$2:$C$2000,H236),""))</f>
        <v>3</v>
      </c>
      <c r="J236" s="7" t="n">
        <f aca="false">IF(AND(ISNUMBER(I236),ISNUMBER(E236)),1,0)</f>
        <v>1</v>
      </c>
    </row>
    <row r="237" customFormat="false" ht="15" hidden="false" customHeight="false" outlineLevel="0" collapsed="false">
      <c r="A237" s="8" t="s">
        <v>69</v>
      </c>
      <c r="B237" s="8" t="s">
        <v>68</v>
      </c>
      <c r="C237" s="8" t="s">
        <v>31</v>
      </c>
      <c r="D237" s="8" t="n">
        <v>3</v>
      </c>
      <c r="E237" s="8" t="n">
        <v>1</v>
      </c>
      <c r="F237" s="10" t="n">
        <f aca="false">IF(COUNTIFS(SCORES!$A$2:$A$2000,A237,SCORES!$B$2:$B$2000,B237,SCORES!$C$2:$C$2000,C237,SCORES!$D$2:$D$2000,"&gt;=0")&gt;0,SUMIFS(SCORES!$D$2:$D$2000,SCORES!$A$2:$A$2000,A237,SCORES!$B$2:$B$2000,B237,SCORES!$C$2:$C$2000,C237),"")</f>
        <v>3</v>
      </c>
      <c r="G237" s="10" t="n">
        <f aca="false">IF(AND(ISNUMBER(F237),ISNUMBER(D237)),1,0)</f>
        <v>1</v>
      </c>
      <c r="H237" s="10" t="str">
        <f aca="false">IFERROR(INDEX(CHECKS!$F$2:$F$2000,MATCH(C237,CHECKS!$A$2:$A$2000,0))&amp;"","")</f>
        <v>W05</v>
      </c>
      <c r="I237" s="10" t="str">
        <f aca="false">IF(H237="","",IF(COUNTIFS(SCORES!$A$2:$A$2000,A237,SCORES!$B$2:$B$2000,B237,SCORES!$C$2:$C$2000,H237,SCORES!$D$2:$D$2000,"&gt;=0")&gt;0,SUMIFS(SCORES!$D$2:$D$2000,SCORES!$A$2:$A$2000,A237,SCORES!$B$2:$B$2000,B237,SCORES!$C$2:$C$2000,H237),""))</f>
        <v/>
      </c>
      <c r="J237" s="10" t="n">
        <f aca="false">IF(AND(ISNUMBER(I237),ISNUMBER(E237)),1,0)</f>
        <v>0</v>
      </c>
    </row>
    <row r="238" customFormat="false" ht="15" hidden="false" customHeight="false" outlineLevel="0" collapsed="false">
      <c r="A238" s="5" t="s">
        <v>71</v>
      </c>
      <c r="B238" s="5" t="s">
        <v>68</v>
      </c>
      <c r="C238" s="5" t="s">
        <v>31</v>
      </c>
      <c r="D238" s="5" t="n">
        <v>2</v>
      </c>
      <c r="E238" s="5" t="n">
        <v>1</v>
      </c>
      <c r="F238" s="7" t="n">
        <f aca="false">IF(COUNTIFS(SCORES!$A$2:$A$2000,A238,SCORES!$B$2:$B$2000,B238,SCORES!$C$2:$C$2000,C238,SCORES!$D$2:$D$2000,"&gt;=0")&gt;0,SUMIFS(SCORES!$D$2:$D$2000,SCORES!$A$2:$A$2000,A238,SCORES!$B$2:$B$2000,B238,SCORES!$C$2:$C$2000,C238),"")</f>
        <v>0</v>
      </c>
      <c r="G238" s="7" t="n">
        <f aca="false">IF(AND(ISNUMBER(F238),ISNUMBER(D238)),1,0)</f>
        <v>1</v>
      </c>
      <c r="H238" s="7" t="str">
        <f aca="false">IFERROR(INDEX(CHECKS!$F$2:$F$2000,MATCH(C238,CHECKS!$A$2:$A$2000,0))&amp;"","")</f>
        <v>W05</v>
      </c>
      <c r="I238" s="7" t="n">
        <f aca="false">IF(H238="","",IF(COUNTIFS(SCORES!$A$2:$A$2000,A238,SCORES!$B$2:$B$2000,B238,SCORES!$C$2:$C$2000,H238,SCORES!$D$2:$D$2000,"&gt;=0")&gt;0,SUMIFS(SCORES!$D$2:$D$2000,SCORES!$A$2:$A$2000,A238,SCORES!$B$2:$B$2000,B238,SCORES!$C$2:$C$2000,H238),""))</f>
        <v>4</v>
      </c>
      <c r="J238" s="7" t="n">
        <f aca="false">IF(AND(ISNUMBER(I238),ISNUMBER(E238)),1,0)</f>
        <v>1</v>
      </c>
    </row>
    <row r="239" customFormat="false" ht="15" hidden="false" customHeight="false" outlineLevel="0" collapsed="false">
      <c r="A239" s="8" t="s">
        <v>72</v>
      </c>
      <c r="B239" s="8" t="s">
        <v>68</v>
      </c>
      <c r="C239" s="8" t="s">
        <v>31</v>
      </c>
      <c r="D239" s="8" t="n">
        <v>2</v>
      </c>
      <c r="E239" s="8" t="n">
        <v>1</v>
      </c>
      <c r="F239" s="10" t="n">
        <f aca="false">IF(COUNTIFS(SCORES!$A$2:$A$2000,A239,SCORES!$B$2:$B$2000,B239,SCORES!$C$2:$C$2000,C239,SCORES!$D$2:$D$2000,"&gt;=0")&gt;0,SUMIFS(SCORES!$D$2:$D$2000,SCORES!$A$2:$A$2000,A239,SCORES!$B$2:$B$2000,B239,SCORES!$C$2:$C$2000,C239),"")</f>
        <v>2</v>
      </c>
      <c r="G239" s="10" t="n">
        <f aca="false">IF(AND(ISNUMBER(F239),ISNUMBER(D239)),1,0)</f>
        <v>1</v>
      </c>
      <c r="H239" s="10" t="str">
        <f aca="false">IFERROR(INDEX(CHECKS!$F$2:$F$2000,MATCH(C239,CHECKS!$A$2:$A$2000,0))&amp;"","")</f>
        <v>W05</v>
      </c>
      <c r="I239" s="10" t="n">
        <f aca="false">IF(H239="","",IF(COUNTIFS(SCORES!$A$2:$A$2000,A239,SCORES!$B$2:$B$2000,B239,SCORES!$C$2:$C$2000,H239,SCORES!$D$2:$D$2000,"&gt;=0")&gt;0,SUMIFS(SCORES!$D$2:$D$2000,SCORES!$A$2:$A$2000,A239,SCORES!$B$2:$B$2000,B239,SCORES!$C$2:$C$2000,H239),""))</f>
        <v>2</v>
      </c>
      <c r="J239" s="10" t="n">
        <f aca="false">IF(AND(ISNUMBER(I239),ISNUMBER(E239)),1,0)</f>
        <v>1</v>
      </c>
    </row>
    <row r="240" customFormat="false" ht="15" hidden="false" customHeight="false" outlineLevel="0" collapsed="false">
      <c r="A240" s="5" t="s">
        <v>73</v>
      </c>
      <c r="B240" s="5" t="s">
        <v>68</v>
      </c>
      <c r="C240" s="5" t="s">
        <v>31</v>
      </c>
      <c r="D240" s="5" t="n">
        <v>3</v>
      </c>
      <c r="E240" s="5" t="n">
        <v>0</v>
      </c>
      <c r="F240" s="7" t="n">
        <f aca="false">IF(COUNTIFS(SCORES!$A$2:$A$2000,A240,SCORES!$B$2:$B$2000,B240,SCORES!$C$2:$C$2000,C240,SCORES!$D$2:$D$2000,"&gt;=0")&gt;0,SUMIFS(SCORES!$D$2:$D$2000,SCORES!$A$2:$A$2000,A240,SCORES!$B$2:$B$2000,B240,SCORES!$C$2:$C$2000,C240),"")</f>
        <v>3</v>
      </c>
      <c r="G240" s="7" t="n">
        <f aca="false">IF(AND(ISNUMBER(F240),ISNUMBER(D240)),1,0)</f>
        <v>1</v>
      </c>
      <c r="H240" s="7" t="str">
        <f aca="false">IFERROR(INDEX(CHECKS!$F$2:$F$2000,MATCH(C240,CHECKS!$A$2:$A$2000,0))&amp;"","")</f>
        <v>W05</v>
      </c>
      <c r="I240" s="7" t="n">
        <f aca="false">IF(H240="","",IF(COUNTIFS(SCORES!$A$2:$A$2000,A240,SCORES!$B$2:$B$2000,B240,SCORES!$C$2:$C$2000,H240,SCORES!$D$2:$D$2000,"&gt;=0")&gt;0,SUMIFS(SCORES!$D$2:$D$2000,SCORES!$A$2:$A$2000,A240,SCORES!$B$2:$B$2000,B240,SCORES!$C$2:$C$2000,H240),""))</f>
        <v>1</v>
      </c>
      <c r="J240" s="7" t="n">
        <f aca="false">IF(AND(ISNUMBER(I240),ISNUMBER(E240)),1,0)</f>
        <v>1</v>
      </c>
    </row>
    <row r="241" customFormat="false" ht="15" hidden="false" customHeight="false" outlineLevel="0" collapsed="false">
      <c r="A241" s="8" t="s">
        <v>74</v>
      </c>
      <c r="B241" s="8" t="s">
        <v>68</v>
      </c>
      <c r="C241" s="8" t="s">
        <v>31</v>
      </c>
      <c r="D241" s="8" t="n">
        <v>2</v>
      </c>
      <c r="E241" s="8" t="n">
        <v>0</v>
      </c>
      <c r="F241" s="10" t="str">
        <f aca="false">IF(COUNTIFS(SCORES!$A$2:$A$2000,A241,SCORES!$B$2:$B$2000,B241,SCORES!$C$2:$C$2000,C241,SCORES!$D$2:$D$2000,"&gt;=0")&gt;0,SUMIFS(SCORES!$D$2:$D$2000,SCORES!$A$2:$A$2000,A241,SCORES!$B$2:$B$2000,B241,SCORES!$C$2:$C$2000,C241),"")</f>
        <v/>
      </c>
      <c r="G241" s="10" t="n">
        <f aca="false">IF(AND(ISNUMBER(F241),ISNUMBER(D241)),1,0)</f>
        <v>0</v>
      </c>
      <c r="H241" s="10" t="str">
        <f aca="false">IFERROR(INDEX(CHECKS!$F$2:$F$2000,MATCH(C241,CHECKS!$A$2:$A$2000,0))&amp;"","")</f>
        <v>W05</v>
      </c>
      <c r="I241" s="10" t="n">
        <f aca="false">IF(H241="","",IF(COUNTIFS(SCORES!$A$2:$A$2000,A241,SCORES!$B$2:$B$2000,B241,SCORES!$C$2:$C$2000,H241,SCORES!$D$2:$D$2000,"&gt;=0")&gt;0,SUMIFS(SCORES!$D$2:$D$2000,SCORES!$A$2:$A$2000,A241,SCORES!$B$2:$B$2000,B241,SCORES!$C$2:$C$2000,H241),""))</f>
        <v>4</v>
      </c>
      <c r="J241" s="10" t="n">
        <f aca="false">IF(AND(ISNUMBER(I241),ISNUMBER(E241)),1,0)</f>
        <v>1</v>
      </c>
    </row>
    <row r="242" customFormat="false" ht="15" hidden="false" customHeight="false" outlineLevel="0" collapsed="false">
      <c r="A242" s="5" t="s">
        <v>75</v>
      </c>
      <c r="B242" s="5" t="s">
        <v>68</v>
      </c>
      <c r="C242" s="5" t="s">
        <v>31</v>
      </c>
      <c r="D242" s="5" t="n">
        <v>3</v>
      </c>
      <c r="E242" s="5" t="n">
        <v>1</v>
      </c>
      <c r="F242" s="7" t="n">
        <f aca="false">IF(COUNTIFS(SCORES!$A$2:$A$2000,A242,SCORES!$B$2:$B$2000,B242,SCORES!$C$2:$C$2000,C242,SCORES!$D$2:$D$2000,"&gt;=0")&gt;0,SUMIFS(SCORES!$D$2:$D$2000,SCORES!$A$2:$A$2000,A242,SCORES!$B$2:$B$2000,B242,SCORES!$C$2:$C$2000,C242),"")</f>
        <v>4</v>
      </c>
      <c r="G242" s="7" t="n">
        <f aca="false">IF(AND(ISNUMBER(F242),ISNUMBER(D242)),1,0)</f>
        <v>1</v>
      </c>
      <c r="H242" s="7" t="str">
        <f aca="false">IFERROR(INDEX(CHECKS!$F$2:$F$2000,MATCH(C242,CHECKS!$A$2:$A$2000,0))&amp;"","")</f>
        <v>W05</v>
      </c>
      <c r="I242" s="7" t="n">
        <f aca="false">IF(H242="","",IF(COUNTIFS(SCORES!$A$2:$A$2000,A242,SCORES!$B$2:$B$2000,B242,SCORES!$C$2:$C$2000,H242,SCORES!$D$2:$D$2000,"&gt;=0")&gt;0,SUMIFS(SCORES!$D$2:$D$2000,SCORES!$A$2:$A$2000,A242,SCORES!$B$2:$B$2000,B242,SCORES!$C$2:$C$2000,H242),""))</f>
        <v>5</v>
      </c>
      <c r="J242" s="7" t="n">
        <f aca="false">IF(AND(ISNUMBER(I242),ISNUMBER(E242)),1,0)</f>
        <v>1</v>
      </c>
    </row>
    <row r="243" customFormat="false" ht="15" hidden="false" customHeight="false" outlineLevel="0" collapsed="false">
      <c r="A243" s="8" t="s">
        <v>76</v>
      </c>
      <c r="B243" s="8" t="s">
        <v>68</v>
      </c>
      <c r="C243" s="8" t="s">
        <v>31</v>
      </c>
      <c r="D243" s="8" t="n">
        <v>3</v>
      </c>
      <c r="E243" s="8" t="n">
        <v>1</v>
      </c>
      <c r="F243" s="10" t="str">
        <f aca="false">IF(COUNTIFS(SCORES!$A$2:$A$2000,A243,SCORES!$B$2:$B$2000,B243,SCORES!$C$2:$C$2000,C243,SCORES!$D$2:$D$2000,"&gt;=0")&gt;0,SUMIFS(SCORES!$D$2:$D$2000,SCORES!$A$2:$A$2000,A243,SCORES!$B$2:$B$2000,B243,SCORES!$C$2:$C$2000,C243),"")</f>
        <v/>
      </c>
      <c r="G243" s="10" t="n">
        <f aca="false">IF(AND(ISNUMBER(F243),ISNUMBER(D243)),1,0)</f>
        <v>0</v>
      </c>
      <c r="H243" s="10" t="str">
        <f aca="false">IFERROR(INDEX(CHECKS!$F$2:$F$2000,MATCH(C243,CHECKS!$A$2:$A$2000,0))&amp;"","")</f>
        <v>W05</v>
      </c>
      <c r="I243" s="10" t="n">
        <f aca="false">IF(H243="","",IF(COUNTIFS(SCORES!$A$2:$A$2000,A243,SCORES!$B$2:$B$2000,B243,SCORES!$C$2:$C$2000,H243,SCORES!$D$2:$D$2000,"&gt;=0")&gt;0,SUMIFS(SCORES!$D$2:$D$2000,SCORES!$A$2:$A$2000,A243,SCORES!$B$2:$B$2000,B243,SCORES!$C$2:$C$2000,H243),""))</f>
        <v>4</v>
      </c>
      <c r="J243" s="10" t="n">
        <f aca="false">IF(AND(ISNUMBER(I243),ISNUMBER(E243)),1,0)</f>
        <v>1</v>
      </c>
    </row>
    <row r="244" customFormat="false" ht="15" hidden="false" customHeight="false" outlineLevel="0" collapsed="false">
      <c r="A244" s="5" t="s">
        <v>77</v>
      </c>
      <c r="B244" s="5" t="s">
        <v>68</v>
      </c>
      <c r="C244" s="5" t="s">
        <v>31</v>
      </c>
      <c r="D244" s="5" t="n">
        <v>3</v>
      </c>
      <c r="E244" s="5" t="n">
        <v>2</v>
      </c>
      <c r="F244" s="7" t="n">
        <f aca="false">IF(COUNTIFS(SCORES!$A$2:$A$2000,A244,SCORES!$B$2:$B$2000,B244,SCORES!$C$2:$C$2000,C244,SCORES!$D$2:$D$2000,"&gt;=0")&gt;0,SUMIFS(SCORES!$D$2:$D$2000,SCORES!$A$2:$A$2000,A244,SCORES!$B$2:$B$2000,B244,SCORES!$C$2:$C$2000,C244),"")</f>
        <v>4</v>
      </c>
      <c r="G244" s="7" t="n">
        <f aca="false">IF(AND(ISNUMBER(F244),ISNUMBER(D244)),1,0)</f>
        <v>1</v>
      </c>
      <c r="H244" s="7" t="str">
        <f aca="false">IFERROR(INDEX(CHECKS!$F$2:$F$2000,MATCH(C244,CHECKS!$A$2:$A$2000,0))&amp;"","")</f>
        <v>W05</v>
      </c>
      <c r="I244" s="7" t="str">
        <f aca="false">IF(H244="","",IF(COUNTIFS(SCORES!$A$2:$A$2000,A244,SCORES!$B$2:$B$2000,B244,SCORES!$C$2:$C$2000,H244,SCORES!$D$2:$D$2000,"&gt;=0")&gt;0,SUMIFS(SCORES!$D$2:$D$2000,SCORES!$A$2:$A$2000,A244,SCORES!$B$2:$B$2000,B244,SCORES!$C$2:$C$2000,H244),""))</f>
        <v/>
      </c>
      <c r="J244" s="7" t="n">
        <f aca="false">IF(AND(ISNUMBER(I244),ISNUMBER(E244)),1,0)</f>
        <v>0</v>
      </c>
    </row>
    <row r="245" customFormat="false" ht="15" hidden="false" customHeight="false" outlineLevel="0" collapsed="false">
      <c r="A245" s="8" t="s">
        <v>79</v>
      </c>
      <c r="B245" s="8" t="s">
        <v>68</v>
      </c>
      <c r="C245" s="8" t="s">
        <v>31</v>
      </c>
      <c r="D245" s="8" t="n">
        <v>2</v>
      </c>
      <c r="E245" s="8" t="n">
        <v>2</v>
      </c>
      <c r="F245" s="10" t="n">
        <f aca="false">IF(COUNTIFS(SCORES!$A$2:$A$2000,A245,SCORES!$B$2:$B$2000,B245,SCORES!$C$2:$C$2000,C245,SCORES!$D$2:$D$2000,"&gt;=0")&gt;0,SUMIFS(SCORES!$D$2:$D$2000,SCORES!$A$2:$A$2000,A245,SCORES!$B$2:$B$2000,B245,SCORES!$C$2:$C$2000,C245),"")</f>
        <v>2</v>
      </c>
      <c r="G245" s="10" t="n">
        <f aca="false">IF(AND(ISNUMBER(F245),ISNUMBER(D245)),1,0)</f>
        <v>1</v>
      </c>
      <c r="H245" s="10" t="str">
        <f aca="false">IFERROR(INDEX(CHECKS!$F$2:$F$2000,MATCH(C245,CHECKS!$A$2:$A$2000,0))&amp;"","")</f>
        <v>W05</v>
      </c>
      <c r="I245" s="10" t="n">
        <f aca="false">IF(H245="","",IF(COUNTIFS(SCORES!$A$2:$A$2000,A245,SCORES!$B$2:$B$2000,B245,SCORES!$C$2:$C$2000,H245,SCORES!$D$2:$D$2000,"&gt;=0")&gt;0,SUMIFS(SCORES!$D$2:$D$2000,SCORES!$A$2:$A$2000,A245,SCORES!$B$2:$B$2000,B245,SCORES!$C$2:$C$2000,H245),""))</f>
        <v>4</v>
      </c>
      <c r="J245" s="10" t="n">
        <f aca="false">IF(AND(ISNUMBER(I245),ISNUMBER(E245)),1,0)</f>
        <v>1</v>
      </c>
    </row>
    <row r="246" customFormat="false" ht="15" hidden="false" customHeight="false" outlineLevel="0" collapsed="false">
      <c r="A246" s="5" t="s">
        <v>80</v>
      </c>
      <c r="B246" s="5" t="s">
        <v>68</v>
      </c>
      <c r="C246" s="5" t="s">
        <v>31</v>
      </c>
      <c r="D246" s="5" t="n">
        <v>2</v>
      </c>
      <c r="E246" s="5" t="n">
        <v>1</v>
      </c>
      <c r="F246" s="7" t="n">
        <f aca="false">IF(COUNTIFS(SCORES!$A$2:$A$2000,A246,SCORES!$B$2:$B$2000,B246,SCORES!$C$2:$C$2000,C246,SCORES!$D$2:$D$2000,"&gt;=0")&gt;0,SUMIFS(SCORES!$D$2:$D$2000,SCORES!$A$2:$A$2000,A246,SCORES!$B$2:$B$2000,B246,SCORES!$C$2:$C$2000,C246),"")</f>
        <v>2</v>
      </c>
      <c r="G246" s="7" t="n">
        <f aca="false">IF(AND(ISNUMBER(F246),ISNUMBER(D246)),1,0)</f>
        <v>1</v>
      </c>
      <c r="H246" s="7" t="str">
        <f aca="false">IFERROR(INDEX(CHECKS!$F$2:$F$2000,MATCH(C246,CHECKS!$A$2:$A$2000,0))&amp;"","")</f>
        <v>W05</v>
      </c>
      <c r="I246" s="7" t="n">
        <f aca="false">IF(H246="","",IF(COUNTIFS(SCORES!$A$2:$A$2000,A246,SCORES!$B$2:$B$2000,B246,SCORES!$C$2:$C$2000,H246,SCORES!$D$2:$D$2000,"&gt;=0")&gt;0,SUMIFS(SCORES!$D$2:$D$2000,SCORES!$A$2:$A$2000,A246,SCORES!$B$2:$B$2000,B246,SCORES!$C$2:$C$2000,H246),""))</f>
        <v>3</v>
      </c>
      <c r="J246" s="7" t="n">
        <f aca="false">IF(AND(ISNUMBER(I246),ISNUMBER(E246)),1,0)</f>
        <v>1</v>
      </c>
    </row>
    <row r="247" customFormat="false" ht="15" hidden="false" customHeight="false" outlineLevel="0" collapsed="false">
      <c r="A247" s="8" t="s">
        <v>81</v>
      </c>
      <c r="B247" s="8" t="s">
        <v>68</v>
      </c>
      <c r="C247" s="8" t="s">
        <v>31</v>
      </c>
      <c r="D247" s="8" t="n">
        <v>0</v>
      </c>
      <c r="E247" s="8" t="n">
        <v>0</v>
      </c>
      <c r="F247" s="10" t="n">
        <f aca="false">IF(COUNTIFS(SCORES!$A$2:$A$2000,A247,SCORES!$B$2:$B$2000,B247,SCORES!$C$2:$C$2000,C247,SCORES!$D$2:$D$2000,"&gt;=0")&gt;0,SUMIFS(SCORES!$D$2:$D$2000,SCORES!$A$2:$A$2000,A247,SCORES!$B$2:$B$2000,B247,SCORES!$C$2:$C$2000,C247),"")</f>
        <v>1</v>
      </c>
      <c r="G247" s="10" t="n">
        <f aca="false">IF(AND(ISNUMBER(F247),ISNUMBER(D247)),1,0)</f>
        <v>1</v>
      </c>
      <c r="H247" s="10" t="str">
        <f aca="false">IFERROR(INDEX(CHECKS!$F$2:$F$2000,MATCH(C247,CHECKS!$A$2:$A$2000,0))&amp;"","")</f>
        <v>W05</v>
      </c>
      <c r="I247" s="10" t="n">
        <f aca="false">IF(H247="","",IF(COUNTIFS(SCORES!$A$2:$A$2000,A247,SCORES!$B$2:$B$2000,B247,SCORES!$C$2:$C$2000,H247,SCORES!$D$2:$D$2000,"&gt;=0")&gt;0,SUMIFS(SCORES!$D$2:$D$2000,SCORES!$A$2:$A$2000,A247,SCORES!$B$2:$B$2000,B247,SCORES!$C$2:$C$2000,H247),""))</f>
        <v>3</v>
      </c>
      <c r="J247" s="10" t="n">
        <f aca="false">IF(AND(ISNUMBER(I247),ISNUMBER(E247)),1,0)</f>
        <v>1</v>
      </c>
    </row>
    <row r="248" customFormat="false" ht="15" hidden="false" customHeight="false" outlineLevel="0" collapsed="false">
      <c r="A248" s="5" t="s">
        <v>82</v>
      </c>
      <c r="B248" s="5" t="s">
        <v>68</v>
      </c>
      <c r="C248" s="5" t="s">
        <v>31</v>
      </c>
      <c r="D248" s="5" t="n">
        <v>3</v>
      </c>
      <c r="E248" s="5" t="n">
        <v>2</v>
      </c>
      <c r="F248" s="7" t="n">
        <f aca="false">IF(COUNTIFS(SCORES!$A$2:$A$2000,A248,SCORES!$B$2:$B$2000,B248,SCORES!$C$2:$C$2000,C248,SCORES!$D$2:$D$2000,"&gt;=0")&gt;0,SUMIFS(SCORES!$D$2:$D$2000,SCORES!$A$2:$A$2000,A248,SCORES!$B$2:$B$2000,B248,SCORES!$C$2:$C$2000,C248),"")</f>
        <v>3</v>
      </c>
      <c r="G248" s="7" t="n">
        <f aca="false">IF(AND(ISNUMBER(F248),ISNUMBER(D248)),1,0)</f>
        <v>1</v>
      </c>
      <c r="H248" s="7" t="str">
        <f aca="false">IFERROR(INDEX(CHECKS!$F$2:$F$2000,MATCH(C248,CHECKS!$A$2:$A$2000,0))&amp;"","")</f>
        <v>W05</v>
      </c>
      <c r="I248" s="7" t="n">
        <f aca="false">IF(H248="","",IF(COUNTIFS(SCORES!$A$2:$A$2000,A248,SCORES!$B$2:$B$2000,B248,SCORES!$C$2:$C$2000,H248,SCORES!$D$2:$D$2000,"&gt;=0")&gt;0,SUMIFS(SCORES!$D$2:$D$2000,SCORES!$A$2:$A$2000,A248,SCORES!$B$2:$B$2000,B248,SCORES!$C$2:$C$2000,H248),""))</f>
        <v>5</v>
      </c>
      <c r="J248" s="7" t="n">
        <f aca="false">IF(AND(ISNUMBER(I248),ISNUMBER(E248)),1,0)</f>
        <v>1</v>
      </c>
    </row>
    <row r="249" customFormat="false" ht="15" hidden="false" customHeight="false" outlineLevel="0" collapsed="false">
      <c r="A249" s="8" t="s">
        <v>83</v>
      </c>
      <c r="B249" s="8" t="s">
        <v>68</v>
      </c>
      <c r="C249" s="8" t="s">
        <v>31</v>
      </c>
      <c r="D249" s="8" t="n">
        <v>3</v>
      </c>
      <c r="E249" s="8" t="n">
        <v>1</v>
      </c>
      <c r="F249" s="10" t="n">
        <f aca="false">IF(COUNTIFS(SCORES!$A$2:$A$2000,A249,SCORES!$B$2:$B$2000,B249,SCORES!$C$2:$C$2000,C249,SCORES!$D$2:$D$2000,"&gt;=0")&gt;0,SUMIFS(SCORES!$D$2:$D$2000,SCORES!$A$2:$A$2000,A249,SCORES!$B$2:$B$2000,B249,SCORES!$C$2:$C$2000,C249),"")</f>
        <v>4</v>
      </c>
      <c r="G249" s="10" t="n">
        <f aca="false">IF(AND(ISNUMBER(F249),ISNUMBER(D249)),1,0)</f>
        <v>1</v>
      </c>
      <c r="H249" s="10" t="str">
        <f aca="false">IFERROR(INDEX(CHECKS!$F$2:$F$2000,MATCH(C249,CHECKS!$A$2:$A$2000,0))&amp;"","")</f>
        <v>W05</v>
      </c>
      <c r="I249" s="10" t="n">
        <f aca="false">IF(H249="","",IF(COUNTIFS(SCORES!$A$2:$A$2000,A249,SCORES!$B$2:$B$2000,B249,SCORES!$C$2:$C$2000,H249,SCORES!$D$2:$D$2000,"&gt;=0")&gt;0,SUMIFS(SCORES!$D$2:$D$2000,SCORES!$A$2:$A$2000,A249,SCORES!$B$2:$B$2000,B249,SCORES!$C$2:$C$2000,H249),""))</f>
        <v>3</v>
      </c>
      <c r="J249" s="10" t="n">
        <f aca="false">IF(AND(ISNUMBER(I249),ISNUMBER(E249)),1,0)</f>
        <v>1</v>
      </c>
    </row>
    <row r="250" customFormat="false" ht="15" hidden="false" customHeight="false" outlineLevel="0" collapsed="false">
      <c r="A250" s="5" t="s">
        <v>84</v>
      </c>
      <c r="B250" s="5" t="s">
        <v>68</v>
      </c>
      <c r="C250" s="5" t="s">
        <v>31</v>
      </c>
      <c r="D250" s="5" t="n">
        <v>3</v>
      </c>
      <c r="E250" s="5" t="n">
        <v>0</v>
      </c>
      <c r="F250" s="7" t="n">
        <f aca="false">IF(COUNTIFS(SCORES!$A$2:$A$2000,A250,SCORES!$B$2:$B$2000,B250,SCORES!$C$2:$C$2000,C250,SCORES!$D$2:$D$2000,"&gt;=0")&gt;0,SUMIFS(SCORES!$D$2:$D$2000,SCORES!$A$2:$A$2000,A250,SCORES!$B$2:$B$2000,B250,SCORES!$C$2:$C$2000,C250),"")</f>
        <v>5</v>
      </c>
      <c r="G250" s="7" t="n">
        <f aca="false">IF(AND(ISNUMBER(F250),ISNUMBER(D250)),1,0)</f>
        <v>1</v>
      </c>
      <c r="H250" s="7" t="str">
        <f aca="false">IFERROR(INDEX(CHECKS!$F$2:$F$2000,MATCH(C250,CHECKS!$A$2:$A$2000,0))&amp;"","")</f>
        <v>W05</v>
      </c>
      <c r="I250" s="7" t="n">
        <f aca="false">IF(H250="","",IF(COUNTIFS(SCORES!$A$2:$A$2000,A250,SCORES!$B$2:$B$2000,B250,SCORES!$C$2:$C$2000,H250,SCORES!$D$2:$D$2000,"&gt;=0")&gt;0,SUMIFS(SCORES!$D$2:$D$2000,SCORES!$A$2:$A$2000,A250,SCORES!$B$2:$B$2000,B250,SCORES!$C$2:$C$2000,H250),""))</f>
        <v>5</v>
      </c>
      <c r="J250" s="7" t="n">
        <f aca="false">IF(AND(ISNUMBER(I250),ISNUMBER(E250)),1,0)</f>
        <v>1</v>
      </c>
    </row>
    <row r="251" customFormat="false" ht="15" hidden="false" customHeight="false" outlineLevel="0" collapsed="false">
      <c r="A251" s="8" t="s">
        <v>85</v>
      </c>
      <c r="B251" s="8" t="s">
        <v>68</v>
      </c>
      <c r="C251" s="8" t="s">
        <v>31</v>
      </c>
      <c r="D251" s="8" t="n">
        <v>1</v>
      </c>
      <c r="E251" s="8" t="n">
        <v>1</v>
      </c>
      <c r="F251" s="10" t="n">
        <f aca="false">IF(COUNTIFS(SCORES!$A$2:$A$2000,A251,SCORES!$B$2:$B$2000,B251,SCORES!$C$2:$C$2000,C251,SCORES!$D$2:$D$2000,"&gt;=0")&gt;0,SUMIFS(SCORES!$D$2:$D$2000,SCORES!$A$2:$A$2000,A251,SCORES!$B$2:$B$2000,B251,SCORES!$C$2:$C$2000,C251),"")</f>
        <v>2</v>
      </c>
      <c r="G251" s="10" t="n">
        <f aca="false">IF(AND(ISNUMBER(F251),ISNUMBER(D251)),1,0)</f>
        <v>1</v>
      </c>
      <c r="H251" s="10" t="str">
        <f aca="false">IFERROR(INDEX(CHECKS!$F$2:$F$2000,MATCH(C251,CHECKS!$A$2:$A$2000,0))&amp;"","")</f>
        <v>W05</v>
      </c>
      <c r="I251" s="10" t="n">
        <f aca="false">IF(H251="","",IF(COUNTIFS(SCORES!$A$2:$A$2000,A251,SCORES!$B$2:$B$2000,B251,SCORES!$C$2:$C$2000,H251,SCORES!$D$2:$D$2000,"&gt;=0")&gt;0,SUMIFS(SCORES!$D$2:$D$2000,SCORES!$A$2:$A$2000,A251,SCORES!$B$2:$B$2000,B251,SCORES!$C$2:$C$2000,H251),""))</f>
        <v>0</v>
      </c>
      <c r="J251" s="10" t="n">
        <f aca="false">IF(AND(ISNUMBER(I251),ISNUMBER(E251)),1,0)</f>
        <v>1</v>
      </c>
    </row>
    <row r="252" customFormat="false" ht="15" hidden="false" customHeight="false" outlineLevel="0" collapsed="false">
      <c r="A252" s="5" t="s">
        <v>86</v>
      </c>
      <c r="B252" s="5" t="s">
        <v>68</v>
      </c>
      <c r="C252" s="5" t="s">
        <v>31</v>
      </c>
      <c r="D252" s="5" t="n">
        <v>3</v>
      </c>
      <c r="E252" s="5" t="n">
        <v>0</v>
      </c>
      <c r="F252" s="7" t="n">
        <f aca="false">IF(COUNTIFS(SCORES!$A$2:$A$2000,A252,SCORES!$B$2:$B$2000,B252,SCORES!$C$2:$C$2000,C252,SCORES!$D$2:$D$2000,"&gt;=0")&gt;0,SUMIFS(SCORES!$D$2:$D$2000,SCORES!$A$2:$A$2000,A252,SCORES!$B$2:$B$2000,B252,SCORES!$C$2:$C$2000,C252),"")</f>
        <v>2</v>
      </c>
      <c r="G252" s="7" t="n">
        <f aca="false">IF(AND(ISNUMBER(F252),ISNUMBER(D252)),1,0)</f>
        <v>1</v>
      </c>
      <c r="H252" s="7" t="str">
        <f aca="false">IFERROR(INDEX(CHECKS!$F$2:$F$2000,MATCH(C252,CHECKS!$A$2:$A$2000,0))&amp;"","")</f>
        <v>W05</v>
      </c>
      <c r="I252" s="7" t="n">
        <f aca="false">IF(H252="","",IF(COUNTIFS(SCORES!$A$2:$A$2000,A252,SCORES!$B$2:$B$2000,B252,SCORES!$C$2:$C$2000,H252,SCORES!$D$2:$D$2000,"&gt;=0")&gt;0,SUMIFS(SCORES!$D$2:$D$2000,SCORES!$A$2:$A$2000,A252,SCORES!$B$2:$B$2000,B252,SCORES!$C$2:$C$2000,H252),""))</f>
        <v>3</v>
      </c>
      <c r="J252" s="7" t="n">
        <f aca="false">IF(AND(ISNUMBER(I252),ISNUMBER(E252)),1,0)</f>
        <v>1</v>
      </c>
    </row>
    <row r="253" customFormat="false" ht="15" hidden="false" customHeight="false" outlineLevel="0" collapsed="false">
      <c r="A253" s="8" t="s">
        <v>87</v>
      </c>
      <c r="B253" s="8" t="s">
        <v>68</v>
      </c>
      <c r="C253" s="8" t="s">
        <v>31</v>
      </c>
      <c r="D253" s="8" t="n">
        <v>2</v>
      </c>
      <c r="E253" s="8" t="n">
        <v>1</v>
      </c>
      <c r="F253" s="10" t="n">
        <f aca="false">IF(COUNTIFS(SCORES!$A$2:$A$2000,A253,SCORES!$B$2:$B$2000,B253,SCORES!$C$2:$C$2000,C253,SCORES!$D$2:$D$2000,"&gt;=0")&gt;0,SUMIFS(SCORES!$D$2:$D$2000,SCORES!$A$2:$A$2000,A253,SCORES!$B$2:$B$2000,B253,SCORES!$C$2:$C$2000,C253),"")</f>
        <v>0</v>
      </c>
      <c r="G253" s="10" t="n">
        <f aca="false">IF(AND(ISNUMBER(F253),ISNUMBER(D253)),1,0)</f>
        <v>1</v>
      </c>
      <c r="H253" s="10" t="str">
        <f aca="false">IFERROR(INDEX(CHECKS!$F$2:$F$2000,MATCH(C253,CHECKS!$A$2:$A$2000,0))&amp;"","")</f>
        <v>W05</v>
      </c>
      <c r="I253" s="10" t="n">
        <f aca="false">IF(H253="","",IF(COUNTIFS(SCORES!$A$2:$A$2000,A253,SCORES!$B$2:$B$2000,B253,SCORES!$C$2:$C$2000,H253,SCORES!$D$2:$D$2000,"&gt;=0")&gt;0,SUMIFS(SCORES!$D$2:$D$2000,SCORES!$A$2:$A$2000,A253,SCORES!$B$2:$B$2000,B253,SCORES!$C$2:$C$2000,H253),""))</f>
        <v>2</v>
      </c>
      <c r="J253" s="10" t="n">
        <f aca="false">IF(AND(ISNUMBER(I253),ISNUMBER(E253)),1,0)</f>
        <v>1</v>
      </c>
    </row>
    <row r="254" customFormat="false" ht="15" hidden="false" customHeight="false" outlineLevel="0" collapsed="false">
      <c r="A254" s="5" t="s">
        <v>88</v>
      </c>
      <c r="B254" s="5" t="s">
        <v>68</v>
      </c>
      <c r="C254" s="5" t="s">
        <v>31</v>
      </c>
      <c r="D254" s="5" t="n">
        <v>3</v>
      </c>
      <c r="E254" s="5" t="n">
        <v>1</v>
      </c>
      <c r="F254" s="7" t="n">
        <f aca="false">IF(COUNTIFS(SCORES!$A$2:$A$2000,A254,SCORES!$B$2:$B$2000,B254,SCORES!$C$2:$C$2000,C254,SCORES!$D$2:$D$2000,"&gt;=0")&gt;0,SUMIFS(SCORES!$D$2:$D$2000,SCORES!$A$2:$A$2000,A254,SCORES!$B$2:$B$2000,B254,SCORES!$C$2:$C$2000,C254),"")</f>
        <v>2</v>
      </c>
      <c r="G254" s="7" t="n">
        <f aca="false">IF(AND(ISNUMBER(F254),ISNUMBER(D254)),1,0)</f>
        <v>1</v>
      </c>
      <c r="H254" s="7" t="str">
        <f aca="false">IFERROR(INDEX(CHECKS!$F$2:$F$2000,MATCH(C254,CHECKS!$A$2:$A$2000,0))&amp;"","")</f>
        <v>W05</v>
      </c>
      <c r="I254" s="7" t="n">
        <f aca="false">IF(H254="","",IF(COUNTIFS(SCORES!$A$2:$A$2000,A254,SCORES!$B$2:$B$2000,B254,SCORES!$C$2:$C$2000,H254,SCORES!$D$2:$D$2000,"&gt;=0")&gt;0,SUMIFS(SCORES!$D$2:$D$2000,SCORES!$A$2:$A$2000,A254,SCORES!$B$2:$B$2000,B254,SCORES!$C$2:$C$2000,H254),""))</f>
        <v>2</v>
      </c>
      <c r="J254" s="7" t="n">
        <f aca="false">IF(AND(ISNUMBER(I254),ISNUMBER(E254)),1,0)</f>
        <v>1</v>
      </c>
    </row>
    <row r="255" customFormat="false" ht="15" hidden="false" customHeight="false" outlineLevel="0" collapsed="false">
      <c r="A255" s="8" t="s">
        <v>89</v>
      </c>
      <c r="B255" s="8" t="s">
        <v>68</v>
      </c>
      <c r="C255" s="8" t="s">
        <v>31</v>
      </c>
      <c r="D255" s="8" t="n">
        <v>3</v>
      </c>
      <c r="E255" s="8" t="n">
        <v>1</v>
      </c>
      <c r="F255" s="10" t="n">
        <f aca="false">IF(COUNTIFS(SCORES!$A$2:$A$2000,A255,SCORES!$B$2:$B$2000,B255,SCORES!$C$2:$C$2000,C255,SCORES!$D$2:$D$2000,"&gt;=0")&gt;0,SUMIFS(SCORES!$D$2:$D$2000,SCORES!$A$2:$A$2000,A255,SCORES!$B$2:$B$2000,B255,SCORES!$C$2:$C$2000,C255),"")</f>
        <v>2</v>
      </c>
      <c r="G255" s="10" t="n">
        <f aca="false">IF(AND(ISNUMBER(F255),ISNUMBER(D255)),1,0)</f>
        <v>1</v>
      </c>
      <c r="H255" s="10" t="str">
        <f aca="false">IFERROR(INDEX(CHECKS!$F$2:$F$2000,MATCH(C255,CHECKS!$A$2:$A$2000,0))&amp;"","")</f>
        <v>W05</v>
      </c>
      <c r="I255" s="10" t="n">
        <f aca="false">IF(H255="","",IF(COUNTIFS(SCORES!$A$2:$A$2000,A255,SCORES!$B$2:$B$2000,B255,SCORES!$C$2:$C$2000,H255,SCORES!$D$2:$D$2000,"&gt;=0")&gt;0,SUMIFS(SCORES!$D$2:$D$2000,SCORES!$A$2:$A$2000,A255,SCORES!$B$2:$B$2000,B255,SCORES!$C$2:$C$2000,H255),""))</f>
        <v>3</v>
      </c>
      <c r="J255" s="10" t="n">
        <f aca="false">IF(AND(ISNUMBER(I255),ISNUMBER(E255)),1,0)</f>
        <v>1</v>
      </c>
    </row>
    <row r="256" customFormat="false" ht="15" hidden="false" customHeight="false" outlineLevel="0" collapsed="false">
      <c r="A256" s="5" t="s">
        <v>90</v>
      </c>
      <c r="B256" s="5" t="s">
        <v>68</v>
      </c>
      <c r="C256" s="5" t="s">
        <v>31</v>
      </c>
      <c r="D256" s="5" t="n">
        <v>3</v>
      </c>
      <c r="E256" s="5" t="n">
        <v>1</v>
      </c>
      <c r="F256" s="7" t="n">
        <f aca="false">IF(COUNTIFS(SCORES!$A$2:$A$2000,A256,SCORES!$B$2:$B$2000,B256,SCORES!$C$2:$C$2000,C256,SCORES!$D$2:$D$2000,"&gt;=0")&gt;0,SUMIFS(SCORES!$D$2:$D$2000,SCORES!$A$2:$A$2000,A256,SCORES!$B$2:$B$2000,B256,SCORES!$C$2:$C$2000,C256),"")</f>
        <v>3</v>
      </c>
      <c r="G256" s="7" t="n">
        <f aca="false">IF(AND(ISNUMBER(F256),ISNUMBER(D256)),1,0)</f>
        <v>1</v>
      </c>
      <c r="H256" s="7" t="str">
        <f aca="false">IFERROR(INDEX(CHECKS!$F$2:$F$2000,MATCH(C256,CHECKS!$A$2:$A$2000,0))&amp;"","")</f>
        <v>W05</v>
      </c>
      <c r="I256" s="7" t="n">
        <f aca="false">IF(H256="","",IF(COUNTIFS(SCORES!$A$2:$A$2000,A256,SCORES!$B$2:$B$2000,B256,SCORES!$C$2:$C$2000,H256,SCORES!$D$2:$D$2000,"&gt;=0")&gt;0,SUMIFS(SCORES!$D$2:$D$2000,SCORES!$A$2:$A$2000,A256,SCORES!$B$2:$B$2000,B256,SCORES!$C$2:$C$2000,H256),""))</f>
        <v>3</v>
      </c>
      <c r="J256" s="7" t="n">
        <f aca="false">IF(AND(ISNUMBER(I256),ISNUMBER(E256)),1,0)</f>
        <v>1</v>
      </c>
    </row>
    <row r="257" customFormat="false" ht="15" hidden="false" customHeight="false" outlineLevel="0" collapsed="false">
      <c r="A257" s="8" t="s">
        <v>91</v>
      </c>
      <c r="B257" s="8" t="s">
        <v>68</v>
      </c>
      <c r="C257" s="8" t="s">
        <v>31</v>
      </c>
      <c r="D257" s="8" t="n">
        <v>3</v>
      </c>
      <c r="E257" s="8" t="n">
        <v>0</v>
      </c>
      <c r="F257" s="10" t="n">
        <f aca="false">IF(COUNTIFS(SCORES!$A$2:$A$2000,A257,SCORES!$B$2:$B$2000,B257,SCORES!$C$2:$C$2000,C257,SCORES!$D$2:$D$2000,"&gt;=0")&gt;0,SUMIFS(SCORES!$D$2:$D$2000,SCORES!$A$2:$A$2000,A257,SCORES!$B$2:$B$2000,B257,SCORES!$C$2:$C$2000,C257),"")</f>
        <v>4</v>
      </c>
      <c r="G257" s="10" t="n">
        <f aca="false">IF(AND(ISNUMBER(F257),ISNUMBER(D257)),1,0)</f>
        <v>1</v>
      </c>
      <c r="H257" s="10" t="str">
        <f aca="false">IFERROR(INDEX(CHECKS!$F$2:$F$2000,MATCH(C257,CHECKS!$A$2:$A$2000,0))&amp;"","")</f>
        <v>W05</v>
      </c>
      <c r="I257" s="10" t="n">
        <f aca="false">IF(H257="","",IF(COUNTIFS(SCORES!$A$2:$A$2000,A257,SCORES!$B$2:$B$2000,B257,SCORES!$C$2:$C$2000,H257,SCORES!$D$2:$D$2000,"&gt;=0")&gt;0,SUMIFS(SCORES!$D$2:$D$2000,SCORES!$A$2:$A$2000,A257,SCORES!$B$2:$B$2000,B257,SCORES!$C$2:$C$2000,H257),""))</f>
        <v>4</v>
      </c>
      <c r="J257" s="10" t="n">
        <f aca="false">IF(AND(ISNUMBER(I257),ISNUMBER(E257)),1,0)</f>
        <v>1</v>
      </c>
    </row>
    <row r="258" customFormat="false" ht="15" hidden="false" customHeight="false" outlineLevel="0" collapsed="false">
      <c r="A258" s="5" t="s">
        <v>92</v>
      </c>
      <c r="B258" s="5" t="s">
        <v>68</v>
      </c>
      <c r="C258" s="5" t="s">
        <v>31</v>
      </c>
      <c r="D258" s="5" t="n">
        <v>1</v>
      </c>
      <c r="E258" s="5" t="n">
        <v>2</v>
      </c>
      <c r="F258" s="7" t="n">
        <f aca="false">IF(COUNTIFS(SCORES!$A$2:$A$2000,A258,SCORES!$B$2:$B$2000,B258,SCORES!$C$2:$C$2000,C258,SCORES!$D$2:$D$2000,"&gt;=0")&gt;0,SUMIFS(SCORES!$D$2:$D$2000,SCORES!$A$2:$A$2000,A258,SCORES!$B$2:$B$2000,B258,SCORES!$C$2:$C$2000,C258),"")</f>
        <v>2</v>
      </c>
      <c r="G258" s="7" t="n">
        <f aca="false">IF(AND(ISNUMBER(F258),ISNUMBER(D258)),1,0)</f>
        <v>1</v>
      </c>
      <c r="H258" s="7" t="str">
        <f aca="false">IFERROR(INDEX(CHECKS!$F$2:$F$2000,MATCH(C258,CHECKS!$A$2:$A$2000,0))&amp;"","")</f>
        <v>W05</v>
      </c>
      <c r="I258" s="7" t="n">
        <f aca="false">IF(H258="","",IF(COUNTIFS(SCORES!$A$2:$A$2000,A258,SCORES!$B$2:$B$2000,B258,SCORES!$C$2:$C$2000,H258,SCORES!$D$2:$D$2000,"&gt;=0")&gt;0,SUMIFS(SCORES!$D$2:$D$2000,SCORES!$A$2:$A$2000,A258,SCORES!$B$2:$B$2000,B258,SCORES!$C$2:$C$2000,H258),""))</f>
        <v>5</v>
      </c>
      <c r="J258" s="7" t="n">
        <f aca="false">IF(AND(ISNUMBER(I258),ISNUMBER(E258)),1,0)</f>
        <v>1</v>
      </c>
    </row>
    <row r="259" customFormat="false" ht="15" hidden="false" customHeight="false" outlineLevel="0" collapsed="false">
      <c r="A259" s="8" t="s">
        <v>93</v>
      </c>
      <c r="B259" s="8" t="s">
        <v>68</v>
      </c>
      <c r="C259" s="8" t="s">
        <v>31</v>
      </c>
      <c r="D259" s="8" t="n">
        <v>3</v>
      </c>
      <c r="E259" s="8" t="n">
        <v>2</v>
      </c>
      <c r="F259" s="10" t="n">
        <f aca="false">IF(COUNTIFS(SCORES!$A$2:$A$2000,A259,SCORES!$B$2:$B$2000,B259,SCORES!$C$2:$C$2000,C259,SCORES!$D$2:$D$2000,"&gt;=0")&gt;0,SUMIFS(SCORES!$D$2:$D$2000,SCORES!$A$2:$A$2000,A259,SCORES!$B$2:$B$2000,B259,SCORES!$C$2:$C$2000,C259),"")</f>
        <v>3</v>
      </c>
      <c r="G259" s="10" t="n">
        <f aca="false">IF(AND(ISNUMBER(F259),ISNUMBER(D259)),1,0)</f>
        <v>1</v>
      </c>
      <c r="H259" s="10" t="str">
        <f aca="false">IFERROR(INDEX(CHECKS!$F$2:$F$2000,MATCH(C259,CHECKS!$A$2:$A$2000,0))&amp;"","")</f>
        <v>W05</v>
      </c>
      <c r="I259" s="10" t="n">
        <f aca="false">IF(H259="","",IF(COUNTIFS(SCORES!$A$2:$A$2000,A259,SCORES!$B$2:$B$2000,B259,SCORES!$C$2:$C$2000,H259,SCORES!$D$2:$D$2000,"&gt;=0")&gt;0,SUMIFS(SCORES!$D$2:$D$2000,SCORES!$A$2:$A$2000,A259,SCORES!$B$2:$B$2000,B259,SCORES!$C$2:$C$2000,H259),""))</f>
        <v>2</v>
      </c>
      <c r="J259" s="10" t="n">
        <f aca="false">IF(AND(ISNUMBER(I259),ISNUMBER(E259)),1,0)</f>
        <v>1</v>
      </c>
    </row>
    <row r="260" customFormat="false" ht="15" hidden="false" customHeight="false" outlineLevel="0" collapsed="false">
      <c r="A260" s="5" t="s">
        <v>67</v>
      </c>
      <c r="B260" s="5" t="s">
        <v>94</v>
      </c>
      <c r="C260" s="5" t="s">
        <v>31</v>
      </c>
      <c r="D260" s="5" t="n">
        <v>3</v>
      </c>
      <c r="E260" s="5" t="n">
        <v>1</v>
      </c>
      <c r="F260" s="7" t="n">
        <f aca="false">IF(COUNTIFS(SCORES!$A$2:$A$2000,A260,SCORES!$B$2:$B$2000,B260,SCORES!$C$2:$C$2000,C260,SCORES!$D$2:$D$2000,"&gt;=0")&gt;0,SUMIFS(SCORES!$D$2:$D$2000,SCORES!$A$2:$A$2000,A260,SCORES!$B$2:$B$2000,B260,SCORES!$C$2:$C$2000,C260),"")</f>
        <v>4</v>
      </c>
      <c r="G260" s="7" t="n">
        <f aca="false">IF(AND(ISNUMBER(F260),ISNUMBER(D260)),1,0)</f>
        <v>1</v>
      </c>
      <c r="H260" s="7" t="str">
        <f aca="false">IFERROR(INDEX(CHECKS!$F$2:$F$2000,MATCH(C260,CHECKS!$A$2:$A$2000,0))&amp;"","")</f>
        <v>W05</v>
      </c>
      <c r="I260" s="7" t="n">
        <f aca="false">IF(H260="","",IF(COUNTIFS(SCORES!$A$2:$A$2000,A260,SCORES!$B$2:$B$2000,B260,SCORES!$C$2:$C$2000,H260,SCORES!$D$2:$D$2000,"&gt;=0")&gt;0,SUMIFS(SCORES!$D$2:$D$2000,SCORES!$A$2:$A$2000,A260,SCORES!$B$2:$B$2000,B260,SCORES!$C$2:$C$2000,H260),""))</f>
        <v>2</v>
      </c>
      <c r="J260" s="7" t="n">
        <f aca="false">IF(AND(ISNUMBER(I260),ISNUMBER(E260)),1,0)</f>
        <v>1</v>
      </c>
    </row>
    <row r="261" customFormat="false" ht="15" hidden="false" customHeight="false" outlineLevel="0" collapsed="false">
      <c r="A261" s="8" t="s">
        <v>69</v>
      </c>
      <c r="B261" s="8" t="s">
        <v>94</v>
      </c>
      <c r="C261" s="8" t="s">
        <v>31</v>
      </c>
      <c r="D261" s="8" t="n">
        <v>2</v>
      </c>
      <c r="E261" s="8" t="n">
        <v>1</v>
      </c>
      <c r="F261" s="10" t="str">
        <f aca="false">IF(COUNTIFS(SCORES!$A$2:$A$2000,A261,SCORES!$B$2:$B$2000,B261,SCORES!$C$2:$C$2000,C261,SCORES!$D$2:$D$2000,"&gt;=0")&gt;0,SUMIFS(SCORES!$D$2:$D$2000,SCORES!$A$2:$A$2000,A261,SCORES!$B$2:$B$2000,B261,SCORES!$C$2:$C$2000,C261),"")</f>
        <v/>
      </c>
      <c r="G261" s="10" t="n">
        <f aca="false">IF(AND(ISNUMBER(F261),ISNUMBER(D261)),1,0)</f>
        <v>0</v>
      </c>
      <c r="H261" s="10" t="str">
        <f aca="false">IFERROR(INDEX(CHECKS!$F$2:$F$2000,MATCH(C261,CHECKS!$A$2:$A$2000,0))&amp;"","")</f>
        <v>W05</v>
      </c>
      <c r="I261" s="10" t="n">
        <f aca="false">IF(H261="","",IF(COUNTIFS(SCORES!$A$2:$A$2000,A261,SCORES!$B$2:$B$2000,B261,SCORES!$C$2:$C$2000,H261,SCORES!$D$2:$D$2000,"&gt;=0")&gt;0,SUMIFS(SCORES!$D$2:$D$2000,SCORES!$A$2:$A$2000,A261,SCORES!$B$2:$B$2000,B261,SCORES!$C$2:$C$2000,H261),""))</f>
        <v>5</v>
      </c>
      <c r="J261" s="10" t="n">
        <f aca="false">IF(AND(ISNUMBER(I261),ISNUMBER(E261)),1,0)</f>
        <v>1</v>
      </c>
    </row>
    <row r="262" customFormat="false" ht="15" hidden="false" customHeight="false" outlineLevel="0" collapsed="false">
      <c r="A262" s="5" t="s">
        <v>71</v>
      </c>
      <c r="B262" s="5" t="s">
        <v>94</v>
      </c>
      <c r="C262" s="5" t="s">
        <v>31</v>
      </c>
      <c r="D262" s="5" t="n">
        <v>2</v>
      </c>
      <c r="E262" s="5" t="n">
        <v>1</v>
      </c>
      <c r="F262" s="7" t="str">
        <f aca="false">IF(COUNTIFS(SCORES!$A$2:$A$2000,A262,SCORES!$B$2:$B$2000,B262,SCORES!$C$2:$C$2000,C262,SCORES!$D$2:$D$2000,"&gt;=0")&gt;0,SUMIFS(SCORES!$D$2:$D$2000,SCORES!$A$2:$A$2000,A262,SCORES!$B$2:$B$2000,B262,SCORES!$C$2:$C$2000,C262),"")</f>
        <v/>
      </c>
      <c r="G262" s="7" t="n">
        <f aca="false">IF(AND(ISNUMBER(F262),ISNUMBER(D262)),1,0)</f>
        <v>0</v>
      </c>
      <c r="H262" s="7" t="str">
        <f aca="false">IFERROR(INDEX(CHECKS!$F$2:$F$2000,MATCH(C262,CHECKS!$A$2:$A$2000,0))&amp;"","")</f>
        <v>W05</v>
      </c>
      <c r="I262" s="7" t="n">
        <f aca="false">IF(H262="","",IF(COUNTIFS(SCORES!$A$2:$A$2000,A262,SCORES!$B$2:$B$2000,B262,SCORES!$C$2:$C$2000,H262,SCORES!$D$2:$D$2000,"&gt;=0")&gt;0,SUMIFS(SCORES!$D$2:$D$2000,SCORES!$A$2:$A$2000,A262,SCORES!$B$2:$B$2000,B262,SCORES!$C$2:$C$2000,H262),""))</f>
        <v>5</v>
      </c>
      <c r="J262" s="7" t="n">
        <f aca="false">IF(AND(ISNUMBER(I262),ISNUMBER(E262)),1,0)</f>
        <v>1</v>
      </c>
    </row>
    <row r="263" customFormat="false" ht="15" hidden="false" customHeight="false" outlineLevel="0" collapsed="false">
      <c r="A263" s="8" t="s">
        <v>72</v>
      </c>
      <c r="B263" s="8" t="s">
        <v>94</v>
      </c>
      <c r="C263" s="8" t="s">
        <v>31</v>
      </c>
      <c r="D263" s="8" t="n">
        <v>3</v>
      </c>
      <c r="E263" s="8" t="n">
        <v>0</v>
      </c>
      <c r="F263" s="10" t="n">
        <f aca="false">IF(COUNTIFS(SCORES!$A$2:$A$2000,A263,SCORES!$B$2:$B$2000,B263,SCORES!$C$2:$C$2000,C263,SCORES!$D$2:$D$2000,"&gt;=0")&gt;0,SUMIFS(SCORES!$D$2:$D$2000,SCORES!$A$2:$A$2000,A263,SCORES!$B$2:$B$2000,B263,SCORES!$C$2:$C$2000,C263),"")</f>
        <v>3</v>
      </c>
      <c r="G263" s="10" t="n">
        <f aca="false">IF(AND(ISNUMBER(F263),ISNUMBER(D263)),1,0)</f>
        <v>1</v>
      </c>
      <c r="H263" s="10" t="str">
        <f aca="false">IFERROR(INDEX(CHECKS!$F$2:$F$2000,MATCH(C263,CHECKS!$A$2:$A$2000,0))&amp;"","")</f>
        <v>W05</v>
      </c>
      <c r="I263" s="10" t="n">
        <f aca="false">IF(H263="","",IF(COUNTIFS(SCORES!$A$2:$A$2000,A263,SCORES!$B$2:$B$2000,B263,SCORES!$C$2:$C$2000,H263,SCORES!$D$2:$D$2000,"&gt;=0")&gt;0,SUMIFS(SCORES!$D$2:$D$2000,SCORES!$A$2:$A$2000,A263,SCORES!$B$2:$B$2000,B263,SCORES!$C$2:$C$2000,H263),""))</f>
        <v>3</v>
      </c>
      <c r="J263" s="10" t="n">
        <f aca="false">IF(AND(ISNUMBER(I263),ISNUMBER(E263)),1,0)</f>
        <v>1</v>
      </c>
    </row>
    <row r="264" customFormat="false" ht="15" hidden="false" customHeight="false" outlineLevel="0" collapsed="false">
      <c r="A264" s="5" t="s">
        <v>73</v>
      </c>
      <c r="B264" s="5" t="s">
        <v>94</v>
      </c>
      <c r="C264" s="5" t="s">
        <v>31</v>
      </c>
      <c r="D264" s="5" t="n">
        <v>3</v>
      </c>
      <c r="E264" s="5" t="n">
        <v>1</v>
      </c>
      <c r="F264" s="7" t="str">
        <f aca="false">IF(COUNTIFS(SCORES!$A$2:$A$2000,A264,SCORES!$B$2:$B$2000,B264,SCORES!$C$2:$C$2000,C264,SCORES!$D$2:$D$2000,"&gt;=0")&gt;0,SUMIFS(SCORES!$D$2:$D$2000,SCORES!$A$2:$A$2000,A264,SCORES!$B$2:$B$2000,B264,SCORES!$C$2:$C$2000,C264),"")</f>
        <v/>
      </c>
      <c r="G264" s="7" t="n">
        <f aca="false">IF(AND(ISNUMBER(F264),ISNUMBER(D264)),1,0)</f>
        <v>0</v>
      </c>
      <c r="H264" s="7" t="str">
        <f aca="false">IFERROR(INDEX(CHECKS!$F$2:$F$2000,MATCH(C264,CHECKS!$A$2:$A$2000,0))&amp;"","")</f>
        <v>W05</v>
      </c>
      <c r="I264" s="7" t="n">
        <f aca="false">IF(H264="","",IF(COUNTIFS(SCORES!$A$2:$A$2000,A264,SCORES!$B$2:$B$2000,B264,SCORES!$C$2:$C$2000,H264,SCORES!$D$2:$D$2000,"&gt;=0")&gt;0,SUMIFS(SCORES!$D$2:$D$2000,SCORES!$A$2:$A$2000,A264,SCORES!$B$2:$B$2000,B264,SCORES!$C$2:$C$2000,H264),""))</f>
        <v>4</v>
      </c>
      <c r="J264" s="7" t="n">
        <f aca="false">IF(AND(ISNUMBER(I264),ISNUMBER(E264)),1,0)</f>
        <v>1</v>
      </c>
    </row>
    <row r="265" customFormat="false" ht="15" hidden="false" customHeight="false" outlineLevel="0" collapsed="false">
      <c r="A265" s="8" t="s">
        <v>74</v>
      </c>
      <c r="B265" s="8" t="s">
        <v>94</v>
      </c>
      <c r="C265" s="8" t="s">
        <v>31</v>
      </c>
      <c r="D265" s="8" t="n">
        <v>3</v>
      </c>
      <c r="E265" s="8" t="n">
        <v>0</v>
      </c>
      <c r="F265" s="10" t="n">
        <f aca="false">IF(COUNTIFS(SCORES!$A$2:$A$2000,A265,SCORES!$B$2:$B$2000,B265,SCORES!$C$2:$C$2000,C265,SCORES!$D$2:$D$2000,"&gt;=0")&gt;0,SUMIFS(SCORES!$D$2:$D$2000,SCORES!$A$2:$A$2000,A265,SCORES!$B$2:$B$2000,B265,SCORES!$C$2:$C$2000,C265),"")</f>
        <v>3</v>
      </c>
      <c r="G265" s="10" t="n">
        <f aca="false">IF(AND(ISNUMBER(F265),ISNUMBER(D265)),1,0)</f>
        <v>1</v>
      </c>
      <c r="H265" s="10" t="str">
        <f aca="false">IFERROR(INDEX(CHECKS!$F$2:$F$2000,MATCH(C265,CHECKS!$A$2:$A$2000,0))&amp;"","")</f>
        <v>W05</v>
      </c>
      <c r="I265" s="10" t="n">
        <f aca="false">IF(H265="","",IF(COUNTIFS(SCORES!$A$2:$A$2000,A265,SCORES!$B$2:$B$2000,B265,SCORES!$C$2:$C$2000,H265,SCORES!$D$2:$D$2000,"&gt;=0")&gt;0,SUMIFS(SCORES!$D$2:$D$2000,SCORES!$A$2:$A$2000,A265,SCORES!$B$2:$B$2000,B265,SCORES!$C$2:$C$2000,H265),""))</f>
        <v>2</v>
      </c>
      <c r="J265" s="10" t="n">
        <f aca="false">IF(AND(ISNUMBER(I265),ISNUMBER(E265)),1,0)</f>
        <v>1</v>
      </c>
    </row>
    <row r="266" customFormat="false" ht="15" hidden="false" customHeight="false" outlineLevel="0" collapsed="false">
      <c r="A266" s="5" t="s">
        <v>75</v>
      </c>
      <c r="B266" s="5" t="s">
        <v>94</v>
      </c>
      <c r="C266" s="5" t="s">
        <v>31</v>
      </c>
      <c r="D266" s="5" t="n">
        <v>3</v>
      </c>
      <c r="E266" s="5" t="n">
        <v>0</v>
      </c>
      <c r="F266" s="7" t="n">
        <f aca="false">IF(COUNTIFS(SCORES!$A$2:$A$2000,A266,SCORES!$B$2:$B$2000,B266,SCORES!$C$2:$C$2000,C266,SCORES!$D$2:$D$2000,"&gt;=0")&gt;0,SUMIFS(SCORES!$D$2:$D$2000,SCORES!$A$2:$A$2000,A266,SCORES!$B$2:$B$2000,B266,SCORES!$C$2:$C$2000,C266),"")</f>
        <v>1</v>
      </c>
      <c r="G266" s="7" t="n">
        <f aca="false">IF(AND(ISNUMBER(F266),ISNUMBER(D266)),1,0)</f>
        <v>1</v>
      </c>
      <c r="H266" s="7" t="str">
        <f aca="false">IFERROR(INDEX(CHECKS!$F$2:$F$2000,MATCH(C266,CHECKS!$A$2:$A$2000,0))&amp;"","")</f>
        <v>W05</v>
      </c>
      <c r="I266" s="7" t="n">
        <f aca="false">IF(H266="","",IF(COUNTIFS(SCORES!$A$2:$A$2000,A266,SCORES!$B$2:$B$2000,B266,SCORES!$C$2:$C$2000,H266,SCORES!$D$2:$D$2000,"&gt;=0")&gt;0,SUMIFS(SCORES!$D$2:$D$2000,SCORES!$A$2:$A$2000,A266,SCORES!$B$2:$B$2000,B266,SCORES!$C$2:$C$2000,H266),""))</f>
        <v>2</v>
      </c>
      <c r="J266" s="7" t="n">
        <f aca="false">IF(AND(ISNUMBER(I266),ISNUMBER(E266)),1,0)</f>
        <v>1</v>
      </c>
    </row>
    <row r="267" customFormat="false" ht="15" hidden="false" customHeight="false" outlineLevel="0" collapsed="false">
      <c r="A267" s="8" t="s">
        <v>76</v>
      </c>
      <c r="B267" s="8" t="s">
        <v>94</v>
      </c>
      <c r="C267" s="8" t="s">
        <v>31</v>
      </c>
      <c r="D267" s="8" t="n">
        <v>1</v>
      </c>
      <c r="E267" s="8" t="n">
        <v>1</v>
      </c>
      <c r="F267" s="10" t="n">
        <f aca="false">IF(COUNTIFS(SCORES!$A$2:$A$2000,A267,SCORES!$B$2:$B$2000,B267,SCORES!$C$2:$C$2000,C267,SCORES!$D$2:$D$2000,"&gt;=0")&gt;0,SUMIFS(SCORES!$D$2:$D$2000,SCORES!$A$2:$A$2000,A267,SCORES!$B$2:$B$2000,B267,SCORES!$C$2:$C$2000,C267),"")</f>
        <v>2</v>
      </c>
      <c r="G267" s="10" t="n">
        <f aca="false">IF(AND(ISNUMBER(F267),ISNUMBER(D267)),1,0)</f>
        <v>1</v>
      </c>
      <c r="H267" s="10" t="str">
        <f aca="false">IFERROR(INDEX(CHECKS!$F$2:$F$2000,MATCH(C267,CHECKS!$A$2:$A$2000,0))&amp;"","")</f>
        <v>W05</v>
      </c>
      <c r="I267" s="10" t="n">
        <f aca="false">IF(H267="","",IF(COUNTIFS(SCORES!$A$2:$A$2000,A267,SCORES!$B$2:$B$2000,B267,SCORES!$C$2:$C$2000,H267,SCORES!$D$2:$D$2000,"&gt;=0")&gt;0,SUMIFS(SCORES!$D$2:$D$2000,SCORES!$A$2:$A$2000,A267,SCORES!$B$2:$B$2000,B267,SCORES!$C$2:$C$2000,H267),""))</f>
        <v>3</v>
      </c>
      <c r="J267" s="10" t="n">
        <f aca="false">IF(AND(ISNUMBER(I267),ISNUMBER(E267)),1,0)</f>
        <v>1</v>
      </c>
    </row>
    <row r="268" customFormat="false" ht="15" hidden="false" customHeight="false" outlineLevel="0" collapsed="false">
      <c r="A268" s="5" t="s">
        <v>77</v>
      </c>
      <c r="B268" s="5" t="s">
        <v>94</v>
      </c>
      <c r="C268" s="5" t="s">
        <v>31</v>
      </c>
      <c r="D268" s="5" t="n">
        <v>3</v>
      </c>
      <c r="E268" s="5" t="n">
        <v>2</v>
      </c>
      <c r="F268" s="7" t="str">
        <f aca="false">IF(COUNTIFS(SCORES!$A$2:$A$2000,A268,SCORES!$B$2:$B$2000,B268,SCORES!$C$2:$C$2000,C268,SCORES!$D$2:$D$2000,"&gt;=0")&gt;0,SUMIFS(SCORES!$D$2:$D$2000,SCORES!$A$2:$A$2000,A268,SCORES!$B$2:$B$2000,B268,SCORES!$C$2:$C$2000,C268),"")</f>
        <v/>
      </c>
      <c r="G268" s="7" t="n">
        <f aca="false">IF(AND(ISNUMBER(F268),ISNUMBER(D268)),1,0)</f>
        <v>0</v>
      </c>
      <c r="H268" s="7" t="str">
        <f aca="false">IFERROR(INDEX(CHECKS!$F$2:$F$2000,MATCH(C268,CHECKS!$A$2:$A$2000,0))&amp;"","")</f>
        <v>W05</v>
      </c>
      <c r="I268" s="7" t="n">
        <f aca="false">IF(H268="","",IF(COUNTIFS(SCORES!$A$2:$A$2000,A268,SCORES!$B$2:$B$2000,B268,SCORES!$C$2:$C$2000,H268,SCORES!$D$2:$D$2000,"&gt;=0")&gt;0,SUMIFS(SCORES!$D$2:$D$2000,SCORES!$A$2:$A$2000,A268,SCORES!$B$2:$B$2000,B268,SCORES!$C$2:$C$2000,H268),""))</f>
        <v>3</v>
      </c>
      <c r="J268" s="7" t="n">
        <f aca="false">IF(AND(ISNUMBER(I268),ISNUMBER(E268)),1,0)</f>
        <v>1</v>
      </c>
    </row>
    <row r="269" customFormat="false" ht="15" hidden="false" customHeight="false" outlineLevel="0" collapsed="false">
      <c r="A269" s="8" t="s">
        <v>78</v>
      </c>
      <c r="B269" s="8" t="s">
        <v>94</v>
      </c>
      <c r="C269" s="8" t="s">
        <v>31</v>
      </c>
      <c r="D269" s="8" t="n">
        <v>1</v>
      </c>
      <c r="E269" s="8" t="n">
        <v>1</v>
      </c>
      <c r="F269" s="10" t="n">
        <f aca="false">IF(COUNTIFS(SCORES!$A$2:$A$2000,A269,SCORES!$B$2:$B$2000,B269,SCORES!$C$2:$C$2000,C269,SCORES!$D$2:$D$2000,"&gt;=0")&gt;0,SUMIFS(SCORES!$D$2:$D$2000,SCORES!$A$2:$A$2000,A269,SCORES!$B$2:$B$2000,B269,SCORES!$C$2:$C$2000,C269),"")</f>
        <v>3</v>
      </c>
      <c r="G269" s="10" t="n">
        <f aca="false">IF(AND(ISNUMBER(F269),ISNUMBER(D269)),1,0)</f>
        <v>1</v>
      </c>
      <c r="H269" s="10" t="str">
        <f aca="false">IFERROR(INDEX(CHECKS!$F$2:$F$2000,MATCH(C269,CHECKS!$A$2:$A$2000,0))&amp;"","")</f>
        <v>W05</v>
      </c>
      <c r="I269" s="10" t="n">
        <f aca="false">IF(H269="","",IF(COUNTIFS(SCORES!$A$2:$A$2000,A269,SCORES!$B$2:$B$2000,B269,SCORES!$C$2:$C$2000,H269,SCORES!$D$2:$D$2000,"&gt;=0")&gt;0,SUMIFS(SCORES!$D$2:$D$2000,SCORES!$A$2:$A$2000,A269,SCORES!$B$2:$B$2000,B269,SCORES!$C$2:$C$2000,H269),""))</f>
        <v>3</v>
      </c>
      <c r="J269" s="10" t="n">
        <f aca="false">IF(AND(ISNUMBER(I269),ISNUMBER(E269)),1,0)</f>
        <v>1</v>
      </c>
    </row>
    <row r="270" customFormat="false" ht="15" hidden="false" customHeight="false" outlineLevel="0" collapsed="false">
      <c r="A270" s="5" t="s">
        <v>79</v>
      </c>
      <c r="B270" s="5" t="s">
        <v>94</v>
      </c>
      <c r="C270" s="5" t="s">
        <v>31</v>
      </c>
      <c r="D270" s="5" t="n">
        <v>2</v>
      </c>
      <c r="E270" s="5" t="n">
        <v>2</v>
      </c>
      <c r="F270" s="7" t="n">
        <f aca="false">IF(COUNTIFS(SCORES!$A$2:$A$2000,A270,SCORES!$B$2:$B$2000,B270,SCORES!$C$2:$C$2000,C270,SCORES!$D$2:$D$2000,"&gt;=0")&gt;0,SUMIFS(SCORES!$D$2:$D$2000,SCORES!$A$2:$A$2000,A270,SCORES!$B$2:$B$2000,B270,SCORES!$C$2:$C$2000,C270),"")</f>
        <v>4</v>
      </c>
      <c r="G270" s="7" t="n">
        <f aca="false">IF(AND(ISNUMBER(F270),ISNUMBER(D270)),1,0)</f>
        <v>1</v>
      </c>
      <c r="H270" s="7" t="str">
        <f aca="false">IFERROR(INDEX(CHECKS!$F$2:$F$2000,MATCH(C270,CHECKS!$A$2:$A$2000,0))&amp;"","")</f>
        <v>W05</v>
      </c>
      <c r="I270" s="7" t="n">
        <f aca="false">IF(H270="","",IF(COUNTIFS(SCORES!$A$2:$A$2000,A270,SCORES!$B$2:$B$2000,B270,SCORES!$C$2:$C$2000,H270,SCORES!$D$2:$D$2000,"&gt;=0")&gt;0,SUMIFS(SCORES!$D$2:$D$2000,SCORES!$A$2:$A$2000,A270,SCORES!$B$2:$B$2000,B270,SCORES!$C$2:$C$2000,H270),""))</f>
        <v>4</v>
      </c>
      <c r="J270" s="7" t="n">
        <f aca="false">IF(AND(ISNUMBER(I270),ISNUMBER(E270)),1,0)</f>
        <v>1</v>
      </c>
    </row>
    <row r="271" customFormat="false" ht="15" hidden="false" customHeight="false" outlineLevel="0" collapsed="false">
      <c r="A271" s="8" t="s">
        <v>80</v>
      </c>
      <c r="B271" s="8" t="s">
        <v>94</v>
      </c>
      <c r="C271" s="8" t="s">
        <v>31</v>
      </c>
      <c r="D271" s="8" t="n">
        <v>2</v>
      </c>
      <c r="E271" s="8" t="n">
        <v>1</v>
      </c>
      <c r="F271" s="10" t="n">
        <f aca="false">IF(COUNTIFS(SCORES!$A$2:$A$2000,A271,SCORES!$B$2:$B$2000,B271,SCORES!$C$2:$C$2000,C271,SCORES!$D$2:$D$2000,"&gt;=0")&gt;0,SUMIFS(SCORES!$D$2:$D$2000,SCORES!$A$2:$A$2000,A271,SCORES!$B$2:$B$2000,B271,SCORES!$C$2:$C$2000,C271),"")</f>
        <v>2</v>
      </c>
      <c r="G271" s="10" t="n">
        <f aca="false">IF(AND(ISNUMBER(F271),ISNUMBER(D271)),1,0)</f>
        <v>1</v>
      </c>
      <c r="H271" s="10" t="str">
        <f aca="false">IFERROR(INDEX(CHECKS!$F$2:$F$2000,MATCH(C271,CHECKS!$A$2:$A$2000,0))&amp;"","")</f>
        <v>W05</v>
      </c>
      <c r="I271" s="10" t="n">
        <f aca="false">IF(H271="","",IF(COUNTIFS(SCORES!$A$2:$A$2000,A271,SCORES!$B$2:$B$2000,B271,SCORES!$C$2:$C$2000,H271,SCORES!$D$2:$D$2000,"&gt;=0")&gt;0,SUMIFS(SCORES!$D$2:$D$2000,SCORES!$A$2:$A$2000,A271,SCORES!$B$2:$B$2000,B271,SCORES!$C$2:$C$2000,H271),""))</f>
        <v>2</v>
      </c>
      <c r="J271" s="10" t="n">
        <f aca="false">IF(AND(ISNUMBER(I271),ISNUMBER(E271)),1,0)</f>
        <v>1</v>
      </c>
    </row>
    <row r="272" customFormat="false" ht="15" hidden="false" customHeight="false" outlineLevel="0" collapsed="false">
      <c r="A272" s="5" t="s">
        <v>82</v>
      </c>
      <c r="B272" s="5" t="s">
        <v>94</v>
      </c>
      <c r="C272" s="5" t="s">
        <v>31</v>
      </c>
      <c r="D272" s="5" t="n">
        <v>3</v>
      </c>
      <c r="E272" s="5" t="n">
        <v>0</v>
      </c>
      <c r="F272" s="7" t="n">
        <f aca="false">IF(COUNTIFS(SCORES!$A$2:$A$2000,A272,SCORES!$B$2:$B$2000,B272,SCORES!$C$2:$C$2000,C272,SCORES!$D$2:$D$2000,"&gt;=0")&gt;0,SUMIFS(SCORES!$D$2:$D$2000,SCORES!$A$2:$A$2000,A272,SCORES!$B$2:$B$2000,B272,SCORES!$C$2:$C$2000,C272),"")</f>
        <v>2</v>
      </c>
      <c r="G272" s="7" t="n">
        <f aca="false">IF(AND(ISNUMBER(F272),ISNUMBER(D272)),1,0)</f>
        <v>1</v>
      </c>
      <c r="H272" s="7" t="str">
        <f aca="false">IFERROR(INDEX(CHECKS!$F$2:$F$2000,MATCH(C272,CHECKS!$A$2:$A$2000,0))&amp;"","")</f>
        <v>W05</v>
      </c>
      <c r="I272" s="7" t="str">
        <f aca="false">IF(H272="","",IF(COUNTIFS(SCORES!$A$2:$A$2000,A272,SCORES!$B$2:$B$2000,B272,SCORES!$C$2:$C$2000,H272,SCORES!$D$2:$D$2000,"&gt;=0")&gt;0,SUMIFS(SCORES!$D$2:$D$2000,SCORES!$A$2:$A$2000,A272,SCORES!$B$2:$B$2000,B272,SCORES!$C$2:$C$2000,H272),""))</f>
        <v/>
      </c>
      <c r="J272" s="7" t="n">
        <f aca="false">IF(AND(ISNUMBER(I272),ISNUMBER(E272)),1,0)</f>
        <v>0</v>
      </c>
    </row>
    <row r="273" customFormat="false" ht="15" hidden="false" customHeight="false" outlineLevel="0" collapsed="false">
      <c r="A273" s="8" t="s">
        <v>83</v>
      </c>
      <c r="B273" s="8" t="s">
        <v>94</v>
      </c>
      <c r="C273" s="8" t="s">
        <v>31</v>
      </c>
      <c r="D273" s="8" t="n">
        <v>3</v>
      </c>
      <c r="E273" s="8" t="n">
        <v>1</v>
      </c>
      <c r="F273" s="10" t="n">
        <f aca="false">IF(COUNTIFS(SCORES!$A$2:$A$2000,A273,SCORES!$B$2:$B$2000,B273,SCORES!$C$2:$C$2000,C273,SCORES!$D$2:$D$2000,"&gt;=0")&gt;0,SUMIFS(SCORES!$D$2:$D$2000,SCORES!$A$2:$A$2000,A273,SCORES!$B$2:$B$2000,B273,SCORES!$C$2:$C$2000,C273),"")</f>
        <v>3</v>
      </c>
      <c r="G273" s="10" t="n">
        <f aca="false">IF(AND(ISNUMBER(F273),ISNUMBER(D273)),1,0)</f>
        <v>1</v>
      </c>
      <c r="H273" s="10" t="str">
        <f aca="false">IFERROR(INDEX(CHECKS!$F$2:$F$2000,MATCH(C273,CHECKS!$A$2:$A$2000,0))&amp;"","")</f>
        <v>W05</v>
      </c>
      <c r="I273" s="10" t="n">
        <f aca="false">IF(H273="","",IF(COUNTIFS(SCORES!$A$2:$A$2000,A273,SCORES!$B$2:$B$2000,B273,SCORES!$C$2:$C$2000,H273,SCORES!$D$2:$D$2000,"&gt;=0")&gt;0,SUMIFS(SCORES!$D$2:$D$2000,SCORES!$A$2:$A$2000,A273,SCORES!$B$2:$B$2000,B273,SCORES!$C$2:$C$2000,H273),""))</f>
        <v>5</v>
      </c>
      <c r="J273" s="10" t="n">
        <f aca="false">IF(AND(ISNUMBER(I273),ISNUMBER(E273)),1,0)</f>
        <v>1</v>
      </c>
    </row>
    <row r="274" customFormat="false" ht="15" hidden="false" customHeight="false" outlineLevel="0" collapsed="false">
      <c r="A274" s="5" t="s">
        <v>84</v>
      </c>
      <c r="B274" s="5" t="s">
        <v>94</v>
      </c>
      <c r="C274" s="5" t="s">
        <v>31</v>
      </c>
      <c r="D274" s="5" t="n">
        <v>3</v>
      </c>
      <c r="E274" s="5" t="n">
        <v>0</v>
      </c>
      <c r="F274" s="7" t="n">
        <f aca="false">IF(COUNTIFS(SCORES!$A$2:$A$2000,A274,SCORES!$B$2:$B$2000,B274,SCORES!$C$2:$C$2000,C274,SCORES!$D$2:$D$2000,"&gt;=0")&gt;0,SUMIFS(SCORES!$D$2:$D$2000,SCORES!$A$2:$A$2000,A274,SCORES!$B$2:$B$2000,B274,SCORES!$C$2:$C$2000,C274),"")</f>
        <v>1</v>
      </c>
      <c r="G274" s="7" t="n">
        <f aca="false">IF(AND(ISNUMBER(F274),ISNUMBER(D274)),1,0)</f>
        <v>1</v>
      </c>
      <c r="H274" s="7" t="str">
        <f aca="false">IFERROR(INDEX(CHECKS!$F$2:$F$2000,MATCH(C274,CHECKS!$A$2:$A$2000,0))&amp;"","")</f>
        <v>W05</v>
      </c>
      <c r="I274" s="7" t="n">
        <f aca="false">IF(H274="","",IF(COUNTIFS(SCORES!$A$2:$A$2000,A274,SCORES!$B$2:$B$2000,B274,SCORES!$C$2:$C$2000,H274,SCORES!$D$2:$D$2000,"&gt;=0")&gt;0,SUMIFS(SCORES!$D$2:$D$2000,SCORES!$A$2:$A$2000,A274,SCORES!$B$2:$B$2000,B274,SCORES!$C$2:$C$2000,H274),""))</f>
        <v>2</v>
      </c>
      <c r="J274" s="7" t="n">
        <f aca="false">IF(AND(ISNUMBER(I274),ISNUMBER(E274)),1,0)</f>
        <v>1</v>
      </c>
    </row>
    <row r="275" customFormat="false" ht="15" hidden="false" customHeight="false" outlineLevel="0" collapsed="false">
      <c r="A275" s="8" t="s">
        <v>85</v>
      </c>
      <c r="B275" s="8" t="s">
        <v>94</v>
      </c>
      <c r="C275" s="8" t="s">
        <v>31</v>
      </c>
      <c r="D275" s="8" t="n">
        <v>3</v>
      </c>
      <c r="E275" s="8" t="n">
        <v>1</v>
      </c>
      <c r="F275" s="10" t="n">
        <f aca="false">IF(COUNTIFS(SCORES!$A$2:$A$2000,A275,SCORES!$B$2:$B$2000,B275,SCORES!$C$2:$C$2000,C275,SCORES!$D$2:$D$2000,"&gt;=0")&gt;0,SUMIFS(SCORES!$D$2:$D$2000,SCORES!$A$2:$A$2000,A275,SCORES!$B$2:$B$2000,B275,SCORES!$C$2:$C$2000,C275),"")</f>
        <v>3</v>
      </c>
      <c r="G275" s="10" t="n">
        <f aca="false">IF(AND(ISNUMBER(F275),ISNUMBER(D275)),1,0)</f>
        <v>1</v>
      </c>
      <c r="H275" s="10" t="str">
        <f aca="false">IFERROR(INDEX(CHECKS!$F$2:$F$2000,MATCH(C275,CHECKS!$A$2:$A$2000,0))&amp;"","")</f>
        <v>W05</v>
      </c>
      <c r="I275" s="10" t="n">
        <f aca="false">IF(H275="","",IF(COUNTIFS(SCORES!$A$2:$A$2000,A275,SCORES!$B$2:$B$2000,B275,SCORES!$C$2:$C$2000,H275,SCORES!$D$2:$D$2000,"&gt;=0")&gt;0,SUMIFS(SCORES!$D$2:$D$2000,SCORES!$A$2:$A$2000,A275,SCORES!$B$2:$B$2000,B275,SCORES!$C$2:$C$2000,H275),""))</f>
        <v>3</v>
      </c>
      <c r="J275" s="10" t="n">
        <f aca="false">IF(AND(ISNUMBER(I275),ISNUMBER(E275)),1,0)</f>
        <v>1</v>
      </c>
    </row>
    <row r="276" customFormat="false" ht="15" hidden="false" customHeight="false" outlineLevel="0" collapsed="false">
      <c r="A276" s="5" t="s">
        <v>86</v>
      </c>
      <c r="B276" s="5" t="s">
        <v>94</v>
      </c>
      <c r="C276" s="5" t="s">
        <v>31</v>
      </c>
      <c r="D276" s="5" t="n">
        <v>3</v>
      </c>
      <c r="E276" s="5" t="n">
        <v>2</v>
      </c>
      <c r="F276" s="7" t="n">
        <f aca="false">IF(COUNTIFS(SCORES!$A$2:$A$2000,A276,SCORES!$B$2:$B$2000,B276,SCORES!$C$2:$C$2000,C276,SCORES!$D$2:$D$2000,"&gt;=0")&gt;0,SUMIFS(SCORES!$D$2:$D$2000,SCORES!$A$2:$A$2000,A276,SCORES!$B$2:$B$2000,B276,SCORES!$C$2:$C$2000,C276),"")</f>
        <v>2</v>
      </c>
      <c r="G276" s="7" t="n">
        <f aca="false">IF(AND(ISNUMBER(F276),ISNUMBER(D276)),1,0)</f>
        <v>1</v>
      </c>
      <c r="H276" s="7" t="str">
        <f aca="false">IFERROR(INDEX(CHECKS!$F$2:$F$2000,MATCH(C276,CHECKS!$A$2:$A$2000,0))&amp;"","")</f>
        <v>W05</v>
      </c>
      <c r="I276" s="7" t="n">
        <f aca="false">IF(H276="","",IF(COUNTIFS(SCORES!$A$2:$A$2000,A276,SCORES!$B$2:$B$2000,B276,SCORES!$C$2:$C$2000,H276,SCORES!$D$2:$D$2000,"&gt;=0")&gt;0,SUMIFS(SCORES!$D$2:$D$2000,SCORES!$A$2:$A$2000,A276,SCORES!$B$2:$B$2000,B276,SCORES!$C$2:$C$2000,H276),""))</f>
        <v>4</v>
      </c>
      <c r="J276" s="7" t="n">
        <f aca="false">IF(AND(ISNUMBER(I276),ISNUMBER(E276)),1,0)</f>
        <v>1</v>
      </c>
    </row>
    <row r="277" customFormat="false" ht="15" hidden="false" customHeight="false" outlineLevel="0" collapsed="false">
      <c r="A277" s="8" t="s">
        <v>87</v>
      </c>
      <c r="B277" s="8" t="s">
        <v>94</v>
      </c>
      <c r="C277" s="8" t="s">
        <v>31</v>
      </c>
      <c r="D277" s="8" t="n">
        <v>2</v>
      </c>
      <c r="E277" s="8" t="n">
        <v>1</v>
      </c>
      <c r="F277" s="10" t="n">
        <f aca="false">IF(COUNTIFS(SCORES!$A$2:$A$2000,A277,SCORES!$B$2:$B$2000,B277,SCORES!$C$2:$C$2000,C277,SCORES!$D$2:$D$2000,"&gt;=0")&gt;0,SUMIFS(SCORES!$D$2:$D$2000,SCORES!$A$2:$A$2000,A277,SCORES!$B$2:$B$2000,B277,SCORES!$C$2:$C$2000,C277),"")</f>
        <v>0</v>
      </c>
      <c r="G277" s="10" t="n">
        <f aca="false">IF(AND(ISNUMBER(F277),ISNUMBER(D277)),1,0)</f>
        <v>1</v>
      </c>
      <c r="H277" s="10" t="str">
        <f aca="false">IFERROR(INDEX(CHECKS!$F$2:$F$2000,MATCH(C277,CHECKS!$A$2:$A$2000,0))&amp;"","")</f>
        <v>W05</v>
      </c>
      <c r="I277" s="10" t="n">
        <f aca="false">IF(H277="","",IF(COUNTIFS(SCORES!$A$2:$A$2000,A277,SCORES!$B$2:$B$2000,B277,SCORES!$C$2:$C$2000,H277,SCORES!$D$2:$D$2000,"&gt;=0")&gt;0,SUMIFS(SCORES!$D$2:$D$2000,SCORES!$A$2:$A$2000,A277,SCORES!$B$2:$B$2000,B277,SCORES!$C$2:$C$2000,H277),""))</f>
        <v>1</v>
      </c>
      <c r="J277" s="10" t="n">
        <f aca="false">IF(AND(ISNUMBER(I277),ISNUMBER(E277)),1,0)</f>
        <v>1</v>
      </c>
    </row>
    <row r="278" customFormat="false" ht="15" hidden="false" customHeight="false" outlineLevel="0" collapsed="false">
      <c r="A278" s="5" t="s">
        <v>88</v>
      </c>
      <c r="B278" s="5" t="s">
        <v>94</v>
      </c>
      <c r="C278" s="5" t="s">
        <v>31</v>
      </c>
      <c r="D278" s="5" t="n">
        <v>2</v>
      </c>
      <c r="E278" s="5" t="n">
        <v>0</v>
      </c>
      <c r="F278" s="7" t="n">
        <f aca="false">IF(COUNTIFS(SCORES!$A$2:$A$2000,A278,SCORES!$B$2:$B$2000,B278,SCORES!$C$2:$C$2000,C278,SCORES!$D$2:$D$2000,"&gt;=0")&gt;0,SUMIFS(SCORES!$D$2:$D$2000,SCORES!$A$2:$A$2000,A278,SCORES!$B$2:$B$2000,B278,SCORES!$C$2:$C$2000,C278),"")</f>
        <v>1</v>
      </c>
      <c r="G278" s="7" t="n">
        <f aca="false">IF(AND(ISNUMBER(F278),ISNUMBER(D278)),1,0)</f>
        <v>1</v>
      </c>
      <c r="H278" s="7" t="str">
        <f aca="false">IFERROR(INDEX(CHECKS!$F$2:$F$2000,MATCH(C278,CHECKS!$A$2:$A$2000,0))&amp;"","")</f>
        <v>W05</v>
      </c>
      <c r="I278" s="7" t="n">
        <f aca="false">IF(H278="","",IF(COUNTIFS(SCORES!$A$2:$A$2000,A278,SCORES!$B$2:$B$2000,B278,SCORES!$C$2:$C$2000,H278,SCORES!$D$2:$D$2000,"&gt;=0")&gt;0,SUMIFS(SCORES!$D$2:$D$2000,SCORES!$A$2:$A$2000,A278,SCORES!$B$2:$B$2000,B278,SCORES!$C$2:$C$2000,H278),""))</f>
        <v>3</v>
      </c>
      <c r="J278" s="7" t="n">
        <f aca="false">IF(AND(ISNUMBER(I278),ISNUMBER(E278)),1,0)</f>
        <v>1</v>
      </c>
    </row>
    <row r="279" customFormat="false" ht="15" hidden="false" customHeight="false" outlineLevel="0" collapsed="false">
      <c r="A279" s="8" t="s">
        <v>89</v>
      </c>
      <c r="B279" s="8" t="s">
        <v>94</v>
      </c>
      <c r="C279" s="8" t="s">
        <v>31</v>
      </c>
      <c r="D279" s="8" t="n">
        <v>3</v>
      </c>
      <c r="E279" s="8" t="n">
        <v>1</v>
      </c>
      <c r="F279" s="10" t="n">
        <f aca="false">IF(COUNTIFS(SCORES!$A$2:$A$2000,A279,SCORES!$B$2:$B$2000,B279,SCORES!$C$2:$C$2000,C279,SCORES!$D$2:$D$2000,"&gt;=0")&gt;0,SUMIFS(SCORES!$D$2:$D$2000,SCORES!$A$2:$A$2000,A279,SCORES!$B$2:$B$2000,B279,SCORES!$C$2:$C$2000,C279),"")</f>
        <v>5</v>
      </c>
      <c r="G279" s="10" t="n">
        <f aca="false">IF(AND(ISNUMBER(F279),ISNUMBER(D279)),1,0)</f>
        <v>1</v>
      </c>
      <c r="H279" s="10" t="str">
        <f aca="false">IFERROR(INDEX(CHECKS!$F$2:$F$2000,MATCH(C279,CHECKS!$A$2:$A$2000,0))&amp;"","")</f>
        <v>W05</v>
      </c>
      <c r="I279" s="10" t="n">
        <f aca="false">IF(H279="","",IF(COUNTIFS(SCORES!$A$2:$A$2000,A279,SCORES!$B$2:$B$2000,B279,SCORES!$C$2:$C$2000,H279,SCORES!$D$2:$D$2000,"&gt;=0")&gt;0,SUMIFS(SCORES!$D$2:$D$2000,SCORES!$A$2:$A$2000,A279,SCORES!$B$2:$B$2000,B279,SCORES!$C$2:$C$2000,H279),""))</f>
        <v>5</v>
      </c>
      <c r="J279" s="10" t="n">
        <f aca="false">IF(AND(ISNUMBER(I279),ISNUMBER(E279)),1,0)</f>
        <v>1</v>
      </c>
    </row>
    <row r="280" customFormat="false" ht="15" hidden="false" customHeight="false" outlineLevel="0" collapsed="false">
      <c r="A280" s="5" t="s">
        <v>92</v>
      </c>
      <c r="B280" s="5" t="s">
        <v>94</v>
      </c>
      <c r="C280" s="5" t="s">
        <v>31</v>
      </c>
      <c r="D280" s="5" t="n">
        <v>2</v>
      </c>
      <c r="E280" s="5" t="n">
        <v>0</v>
      </c>
      <c r="F280" s="7" t="n">
        <f aca="false">IF(COUNTIFS(SCORES!$A$2:$A$2000,A280,SCORES!$B$2:$B$2000,B280,SCORES!$C$2:$C$2000,C280,SCORES!$D$2:$D$2000,"&gt;=0")&gt;0,SUMIFS(SCORES!$D$2:$D$2000,SCORES!$A$2:$A$2000,A280,SCORES!$B$2:$B$2000,B280,SCORES!$C$2:$C$2000,C280),"")</f>
        <v>4</v>
      </c>
      <c r="G280" s="7" t="n">
        <f aca="false">IF(AND(ISNUMBER(F280),ISNUMBER(D280)),1,0)</f>
        <v>1</v>
      </c>
      <c r="H280" s="7" t="str">
        <f aca="false">IFERROR(INDEX(CHECKS!$F$2:$F$2000,MATCH(C280,CHECKS!$A$2:$A$2000,0))&amp;"","")</f>
        <v>W05</v>
      </c>
      <c r="I280" s="7" t="n">
        <f aca="false">IF(H280="","",IF(COUNTIFS(SCORES!$A$2:$A$2000,A280,SCORES!$B$2:$B$2000,B280,SCORES!$C$2:$C$2000,H280,SCORES!$D$2:$D$2000,"&gt;=0")&gt;0,SUMIFS(SCORES!$D$2:$D$2000,SCORES!$A$2:$A$2000,A280,SCORES!$B$2:$B$2000,B280,SCORES!$C$2:$C$2000,H280),""))</f>
        <v>2</v>
      </c>
      <c r="J280" s="7" t="n">
        <f aca="false">IF(AND(ISNUMBER(I280),ISNUMBER(E280)),1,0)</f>
        <v>1</v>
      </c>
    </row>
    <row r="281" customFormat="false" ht="15" hidden="false" customHeight="false" outlineLevel="0" collapsed="false">
      <c r="A281" s="8" t="s">
        <v>93</v>
      </c>
      <c r="B281" s="8" t="s">
        <v>94</v>
      </c>
      <c r="C281" s="8" t="s">
        <v>31</v>
      </c>
      <c r="D281" s="8" t="n">
        <v>3</v>
      </c>
      <c r="E281" s="8" t="n">
        <v>1</v>
      </c>
      <c r="F281" s="10" t="n">
        <f aca="false">IF(COUNTIFS(SCORES!$A$2:$A$2000,A281,SCORES!$B$2:$B$2000,B281,SCORES!$C$2:$C$2000,C281,SCORES!$D$2:$D$2000,"&gt;=0")&gt;0,SUMIFS(SCORES!$D$2:$D$2000,SCORES!$A$2:$A$2000,A281,SCORES!$B$2:$B$2000,B281,SCORES!$C$2:$C$2000,C281),"")</f>
        <v>2</v>
      </c>
      <c r="G281" s="10" t="n">
        <f aca="false">IF(AND(ISNUMBER(F281),ISNUMBER(D281)),1,0)</f>
        <v>1</v>
      </c>
      <c r="H281" s="10" t="str">
        <f aca="false">IFERROR(INDEX(CHECKS!$F$2:$F$2000,MATCH(C281,CHECKS!$A$2:$A$2000,0))&amp;"","")</f>
        <v>W05</v>
      </c>
      <c r="I281" s="10" t="str">
        <f aca="false">IF(H281="","",IF(COUNTIFS(SCORES!$A$2:$A$2000,A281,SCORES!$B$2:$B$2000,B281,SCORES!$C$2:$C$2000,H281,SCORES!$D$2:$D$2000,"&gt;=0")&gt;0,SUMIFS(SCORES!$D$2:$D$2000,SCORES!$A$2:$A$2000,A281,SCORES!$B$2:$B$2000,B281,SCORES!$C$2:$C$2000,H281),""))</f>
        <v/>
      </c>
      <c r="J281" s="10" t="n">
        <f aca="false">IF(AND(ISNUMBER(I281),ISNUMBER(E281)),1,0)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16"/>
  </cols>
  <sheetData>
    <row r="1" customFormat="false" ht="30" hidden="false" customHeight="true" outlineLevel="0" collapsed="false">
      <c r="A1" s="4" t="s">
        <v>13</v>
      </c>
      <c r="B1" s="4" t="s">
        <v>12</v>
      </c>
      <c r="C1" s="4" t="s">
        <v>101</v>
      </c>
      <c r="D1" s="4" t="s">
        <v>102</v>
      </c>
      <c r="E1" s="4" t="s">
        <v>103</v>
      </c>
    </row>
    <row r="2" customFormat="false" ht="15" hidden="false" customHeight="false" outlineLevel="0" collapsed="false">
      <c r="A2" s="6" t="n">
        <v>46328</v>
      </c>
      <c r="B2" s="5" t="s">
        <v>19</v>
      </c>
      <c r="C2" s="5" t="s">
        <v>104</v>
      </c>
      <c r="D2" s="5" t="s">
        <v>105</v>
      </c>
      <c r="E2" s="5" t="s">
        <v>106</v>
      </c>
    </row>
    <row r="3" customFormat="false" ht="15" hidden="false" customHeight="false" outlineLevel="0" collapsed="false">
      <c r="A3" s="9" t="n">
        <v>46335</v>
      </c>
      <c r="B3" s="8" t="s">
        <v>23</v>
      </c>
      <c r="C3" s="8" t="s">
        <v>107</v>
      </c>
      <c r="D3" s="8" t="s">
        <v>108</v>
      </c>
      <c r="E3" s="8" t="s">
        <v>109</v>
      </c>
    </row>
    <row r="4" customFormat="false" ht="15" hidden="false" customHeight="false" outlineLevel="0" collapsed="false">
      <c r="A4" s="6" t="n">
        <v>46342</v>
      </c>
      <c r="B4" s="5" t="s">
        <v>25</v>
      </c>
      <c r="C4" s="5" t="s">
        <v>110</v>
      </c>
      <c r="D4" s="5" t="s">
        <v>111</v>
      </c>
      <c r="E4" s="5" t="s">
        <v>106</v>
      </c>
    </row>
    <row r="5" customFormat="false" ht="15" hidden="false" customHeight="false" outlineLevel="0" collapsed="false">
      <c r="A5" s="9" t="n">
        <v>46349</v>
      </c>
      <c r="B5" s="8" t="s">
        <v>27</v>
      </c>
      <c r="C5" s="8" t="s">
        <v>112</v>
      </c>
      <c r="D5" s="8" t="s">
        <v>113</v>
      </c>
      <c r="E5" s="8" t="s">
        <v>109</v>
      </c>
    </row>
    <row r="6" customFormat="false" ht="15" hidden="false" customHeight="false" outlineLevel="0" collapsed="false">
      <c r="A6" s="6" t="n">
        <v>46356</v>
      </c>
      <c r="B6" s="5" t="s">
        <v>29</v>
      </c>
      <c r="C6" s="5" t="s">
        <v>114</v>
      </c>
      <c r="D6" s="5" t="s">
        <v>115</v>
      </c>
      <c r="E6" s="5" t="s">
        <v>106</v>
      </c>
    </row>
    <row r="7" customFormat="false" ht="15" hidden="false" customHeight="false" outlineLevel="0" collapsed="false">
      <c r="A7" s="9" t="n">
        <v>46363</v>
      </c>
      <c r="B7" s="8" t="s">
        <v>31</v>
      </c>
      <c r="C7" s="8" t="s">
        <v>107</v>
      </c>
      <c r="D7" s="8" t="s">
        <v>116</v>
      </c>
      <c r="E7" s="8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20"/>
  </cols>
  <sheetData>
    <row r="1" customFormat="false" ht="30" hidden="false" customHeight="true" outlineLevel="0" collapsed="false">
      <c r="A1" s="4" t="s">
        <v>14</v>
      </c>
      <c r="B1" s="4" t="s">
        <v>117</v>
      </c>
      <c r="C1" s="4" t="s">
        <v>118</v>
      </c>
      <c r="D1" s="4" t="s">
        <v>119</v>
      </c>
      <c r="E1" s="4" t="s">
        <v>51</v>
      </c>
    </row>
    <row r="2" customFormat="false" ht="15" hidden="false" customHeight="false" outlineLevel="0" collapsed="false">
      <c r="A2" s="5" t="s">
        <v>20</v>
      </c>
      <c r="B2" s="6" t="n">
        <v>46346</v>
      </c>
      <c r="C2" s="19" t="n">
        <v>0.71</v>
      </c>
      <c r="D2" s="19" t="n">
        <v>0.74</v>
      </c>
      <c r="E2" s="20" t="n">
        <f aca="false">(C2-D2)*100</f>
        <v>-3</v>
      </c>
    </row>
    <row r="3" customFormat="false" ht="15" hidden="false" customHeight="false" outlineLevel="0" collapsed="false">
      <c r="A3" s="8" t="s">
        <v>24</v>
      </c>
      <c r="B3" s="9" t="n">
        <v>46346</v>
      </c>
      <c r="C3" s="21" t="n">
        <v>0.66</v>
      </c>
      <c r="D3" s="21" t="n">
        <v>0.74</v>
      </c>
      <c r="E3" s="22" t="n">
        <f aca="false">(C3-D3)*100</f>
        <v>-8</v>
      </c>
    </row>
    <row r="4" customFormat="false" ht="15" hidden="false" customHeight="false" outlineLevel="0" collapsed="false">
      <c r="A4" s="5" t="s">
        <v>26</v>
      </c>
      <c r="B4" s="6" t="n">
        <v>46374</v>
      </c>
      <c r="C4" s="19" t="n">
        <v>0.69</v>
      </c>
      <c r="D4" s="19" t="n">
        <v>0.72</v>
      </c>
      <c r="E4" s="20" t="n">
        <f aca="false">(C4-D4)*100</f>
        <v>-3</v>
      </c>
    </row>
    <row r="5" customFormat="false" ht="15" hidden="false" customHeight="false" outlineLevel="0" collapsed="false">
      <c r="A5" s="8" t="s">
        <v>28</v>
      </c>
      <c r="B5" s="9" t="n">
        <v>46374</v>
      </c>
      <c r="C5" s="21" t="n">
        <v>0.62</v>
      </c>
      <c r="D5" s="21" t="n">
        <v>0.72</v>
      </c>
      <c r="E5" s="22" t="n">
        <f aca="false">(C5-D5)*100</f>
        <v>-10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5" style="0" width="12"/>
  </cols>
  <sheetData>
    <row r="1" customFormat="false" ht="30" hidden="false" customHeight="true" outlineLevel="0" collapsed="false">
      <c r="A1" s="4" t="s">
        <v>63</v>
      </c>
      <c r="B1" s="4" t="s">
        <v>64</v>
      </c>
      <c r="C1" s="4" t="s">
        <v>120</v>
      </c>
      <c r="D1" s="4" t="s">
        <v>121</v>
      </c>
      <c r="E1" s="4" t="s">
        <v>122</v>
      </c>
      <c r="F1" s="4" t="s">
        <v>123</v>
      </c>
    </row>
    <row r="2" customFormat="false" ht="15" hidden="false" customHeight="false" outlineLevel="0" collapsed="false">
      <c r="A2" s="7" t="s">
        <v>67</v>
      </c>
      <c r="B2" s="7" t="s">
        <v>68</v>
      </c>
      <c r="C2" s="7" t="n">
        <f aca="false">COUNTIFS(SCORES!$A$2:$A$2000,A2,SCORES!$B$2:$B$2000,B2,SCORES!$D$2:$D$2000,"&gt;=0")</f>
        <v>8</v>
      </c>
      <c r="D2" s="7" t="n">
        <f aca="false">COUNTIFS(SCORES!$A$2:$A$2000,A2,SCORES!$B$2:$B$2000,B2,SCORES!$D$2:$D$2000,"&gt;=4")</f>
        <v>3</v>
      </c>
      <c r="E2" s="12" t="n">
        <f aca="false">IF(C2=0,"",D2/C2)</f>
        <v>0.375</v>
      </c>
      <c r="F2" s="7" t="str">
        <f aca="false">IF(C2=0,"",IF(E2&lt;0.5,"FLAG",""))</f>
        <v>FLAG</v>
      </c>
    </row>
    <row r="3" customFormat="false" ht="15" hidden="false" customHeight="false" outlineLevel="0" collapsed="false">
      <c r="A3" s="10" t="s">
        <v>69</v>
      </c>
      <c r="B3" s="10" t="s">
        <v>68</v>
      </c>
      <c r="C3" s="10" t="n">
        <f aca="false">COUNTIFS(SCORES!$A$2:$A$2000,A3,SCORES!$B$2:$B$2000,B3,SCORES!$D$2:$D$2000,"&gt;=0")</f>
        <v>6</v>
      </c>
      <c r="D3" s="10" t="n">
        <f aca="false">COUNTIFS(SCORES!$A$2:$A$2000,A3,SCORES!$B$2:$B$2000,B3,SCORES!$D$2:$D$2000,"&gt;=4")</f>
        <v>1</v>
      </c>
      <c r="E3" s="14" t="n">
        <f aca="false">IF(C3=0,"",D3/C3)</f>
        <v>0.166666666666667</v>
      </c>
      <c r="F3" s="10" t="str">
        <f aca="false">IF(C3=0,"",IF(E3&lt;0.5,"FLAG",""))</f>
        <v>FLAG</v>
      </c>
    </row>
    <row r="4" customFormat="false" ht="15" hidden="false" customHeight="false" outlineLevel="0" collapsed="false">
      <c r="A4" s="7" t="s">
        <v>71</v>
      </c>
      <c r="B4" s="7" t="s">
        <v>68</v>
      </c>
      <c r="C4" s="7" t="n">
        <f aca="false">COUNTIFS(SCORES!$A$2:$A$2000,A4,SCORES!$B$2:$B$2000,B4,SCORES!$D$2:$D$2000,"&gt;=0")</f>
        <v>7</v>
      </c>
      <c r="D4" s="7" t="n">
        <f aca="false">COUNTIFS(SCORES!$A$2:$A$2000,A4,SCORES!$B$2:$B$2000,B4,SCORES!$D$2:$D$2000,"&gt;=4")</f>
        <v>3</v>
      </c>
      <c r="E4" s="12" t="n">
        <f aca="false">IF(C4=0,"",D4/C4)</f>
        <v>0.428571428571429</v>
      </c>
      <c r="F4" s="7" t="str">
        <f aca="false">IF(C4=0,"",IF(E4&lt;0.5,"FLAG",""))</f>
        <v>FLAG</v>
      </c>
    </row>
    <row r="5" customFormat="false" ht="15" hidden="false" customHeight="false" outlineLevel="0" collapsed="false">
      <c r="A5" s="10" t="s">
        <v>72</v>
      </c>
      <c r="B5" s="10" t="s">
        <v>68</v>
      </c>
      <c r="C5" s="10" t="n">
        <f aca="false">COUNTIFS(SCORES!$A$2:$A$2000,A5,SCORES!$B$2:$B$2000,B5,SCORES!$D$2:$D$2000,"&gt;=0")</f>
        <v>8</v>
      </c>
      <c r="D5" s="10" t="n">
        <f aca="false">COUNTIFS(SCORES!$A$2:$A$2000,A5,SCORES!$B$2:$B$2000,B5,SCORES!$D$2:$D$2000,"&gt;=4")</f>
        <v>0</v>
      </c>
      <c r="E5" s="14" t="n">
        <f aca="false">IF(C5=0,"",D5/C5)</f>
        <v>0</v>
      </c>
      <c r="F5" s="10" t="str">
        <f aca="false">IF(C5=0,"",IF(E5&lt;0.5,"FLAG",""))</f>
        <v>FLAG</v>
      </c>
    </row>
    <row r="6" customFormat="false" ht="15" hidden="false" customHeight="false" outlineLevel="0" collapsed="false">
      <c r="A6" s="7" t="s">
        <v>73</v>
      </c>
      <c r="B6" s="7" t="s">
        <v>68</v>
      </c>
      <c r="C6" s="7" t="n">
        <f aca="false">COUNTIFS(SCORES!$A$2:$A$2000,A6,SCORES!$B$2:$B$2000,B6,SCORES!$D$2:$D$2000,"&gt;=0")</f>
        <v>8</v>
      </c>
      <c r="D6" s="7" t="n">
        <f aca="false">COUNTIFS(SCORES!$A$2:$A$2000,A6,SCORES!$B$2:$B$2000,B6,SCORES!$D$2:$D$2000,"&gt;=4")</f>
        <v>2</v>
      </c>
      <c r="E6" s="12" t="n">
        <f aca="false">IF(C6=0,"",D6/C6)</f>
        <v>0.25</v>
      </c>
      <c r="F6" s="7" t="str">
        <f aca="false">IF(C6=0,"",IF(E6&lt;0.5,"FLAG",""))</f>
        <v>FLAG</v>
      </c>
    </row>
    <row r="7" customFormat="false" ht="15" hidden="false" customHeight="false" outlineLevel="0" collapsed="false">
      <c r="A7" s="10" t="s">
        <v>74</v>
      </c>
      <c r="B7" s="10" t="s">
        <v>68</v>
      </c>
      <c r="C7" s="10" t="n">
        <f aca="false">COUNTIFS(SCORES!$A$2:$A$2000,A7,SCORES!$B$2:$B$2000,B7,SCORES!$D$2:$D$2000,"&gt;=0")</f>
        <v>6</v>
      </c>
      <c r="D7" s="10" t="n">
        <f aca="false">COUNTIFS(SCORES!$A$2:$A$2000,A7,SCORES!$B$2:$B$2000,B7,SCORES!$D$2:$D$2000,"&gt;=4")</f>
        <v>3</v>
      </c>
      <c r="E7" s="14" t="n">
        <f aca="false">IF(C7=0,"",D7/C7)</f>
        <v>0.5</v>
      </c>
      <c r="F7" s="10" t="str">
        <f aca="false">IF(C7=0,"",IF(E7&lt;0.5,"FLAG",""))</f>
        <v/>
      </c>
    </row>
    <row r="8" customFormat="false" ht="15" hidden="false" customHeight="false" outlineLevel="0" collapsed="false">
      <c r="A8" s="7" t="s">
        <v>75</v>
      </c>
      <c r="B8" s="7" t="s">
        <v>68</v>
      </c>
      <c r="C8" s="7" t="n">
        <f aca="false">COUNTIFS(SCORES!$A$2:$A$2000,A8,SCORES!$B$2:$B$2000,B8,SCORES!$D$2:$D$2000,"&gt;=0")</f>
        <v>8</v>
      </c>
      <c r="D8" s="7" t="n">
        <f aca="false">COUNTIFS(SCORES!$A$2:$A$2000,A8,SCORES!$B$2:$B$2000,B8,SCORES!$D$2:$D$2000,"&gt;=4")</f>
        <v>7</v>
      </c>
      <c r="E8" s="12" t="n">
        <f aca="false">IF(C8=0,"",D8/C8)</f>
        <v>0.875</v>
      </c>
      <c r="F8" s="7" t="str">
        <f aca="false">IF(C8=0,"",IF(E8&lt;0.5,"FLAG",""))</f>
        <v/>
      </c>
    </row>
    <row r="9" customFormat="false" ht="15" hidden="false" customHeight="false" outlineLevel="0" collapsed="false">
      <c r="A9" s="10" t="s">
        <v>76</v>
      </c>
      <c r="B9" s="10" t="s">
        <v>68</v>
      </c>
      <c r="C9" s="10" t="n">
        <f aca="false">COUNTIFS(SCORES!$A$2:$A$2000,A9,SCORES!$B$2:$B$2000,B9,SCORES!$D$2:$D$2000,"&gt;=0")</f>
        <v>7</v>
      </c>
      <c r="D9" s="10" t="n">
        <f aca="false">COUNTIFS(SCORES!$A$2:$A$2000,A9,SCORES!$B$2:$B$2000,B9,SCORES!$D$2:$D$2000,"&gt;=4")</f>
        <v>2</v>
      </c>
      <c r="E9" s="14" t="n">
        <f aca="false">IF(C9=0,"",D9/C9)</f>
        <v>0.285714285714286</v>
      </c>
      <c r="F9" s="10" t="str">
        <f aca="false">IF(C9=0,"",IF(E9&lt;0.5,"FLAG",""))</f>
        <v>FLAG</v>
      </c>
    </row>
    <row r="10" customFormat="false" ht="15" hidden="false" customHeight="false" outlineLevel="0" collapsed="false">
      <c r="A10" s="7" t="s">
        <v>77</v>
      </c>
      <c r="B10" s="7" t="s">
        <v>68</v>
      </c>
      <c r="C10" s="7" t="n">
        <f aca="false">COUNTIFS(SCORES!$A$2:$A$2000,A10,SCORES!$B$2:$B$2000,B10,SCORES!$D$2:$D$2000,"&gt;=0")</f>
        <v>6</v>
      </c>
      <c r="D10" s="7" t="n">
        <f aca="false">COUNTIFS(SCORES!$A$2:$A$2000,A10,SCORES!$B$2:$B$2000,B10,SCORES!$D$2:$D$2000,"&gt;=4")</f>
        <v>4</v>
      </c>
      <c r="E10" s="12" t="n">
        <f aca="false">IF(C10=0,"",D10/C10)</f>
        <v>0.666666666666667</v>
      </c>
      <c r="F10" s="7" t="str">
        <f aca="false">IF(C10=0,"",IF(E10&lt;0.5,"FLAG",""))</f>
        <v/>
      </c>
    </row>
    <row r="11" customFormat="false" ht="15" hidden="false" customHeight="false" outlineLevel="0" collapsed="false">
      <c r="A11" s="10" t="s">
        <v>78</v>
      </c>
      <c r="B11" s="10" t="s">
        <v>68</v>
      </c>
      <c r="C11" s="10" t="n">
        <f aca="false">COUNTIFS(SCORES!$A$2:$A$2000,A11,SCORES!$B$2:$B$2000,B11,SCORES!$D$2:$D$2000,"&gt;=0")</f>
        <v>7</v>
      </c>
      <c r="D11" s="10" t="n">
        <f aca="false">COUNTIFS(SCORES!$A$2:$A$2000,A11,SCORES!$B$2:$B$2000,B11,SCORES!$D$2:$D$2000,"&gt;=4")</f>
        <v>4</v>
      </c>
      <c r="E11" s="14" t="n">
        <f aca="false">IF(C11=0,"",D11/C11)</f>
        <v>0.571428571428571</v>
      </c>
      <c r="F11" s="10" t="str">
        <f aca="false">IF(C11=0,"",IF(E11&lt;0.5,"FLAG",""))</f>
        <v/>
      </c>
    </row>
    <row r="12" customFormat="false" ht="15" hidden="false" customHeight="false" outlineLevel="0" collapsed="false">
      <c r="A12" s="7" t="s">
        <v>79</v>
      </c>
      <c r="B12" s="7" t="s">
        <v>68</v>
      </c>
      <c r="C12" s="7" t="n">
        <f aca="false">COUNTIFS(SCORES!$A$2:$A$2000,A12,SCORES!$B$2:$B$2000,B12,SCORES!$D$2:$D$2000,"&gt;=0")</f>
        <v>8</v>
      </c>
      <c r="D12" s="7" t="n">
        <f aca="false">COUNTIFS(SCORES!$A$2:$A$2000,A12,SCORES!$B$2:$B$2000,B12,SCORES!$D$2:$D$2000,"&gt;=4")</f>
        <v>4</v>
      </c>
      <c r="E12" s="12" t="n">
        <f aca="false">IF(C12=0,"",D12/C12)</f>
        <v>0.5</v>
      </c>
      <c r="F12" s="7" t="str">
        <f aca="false">IF(C12=0,"",IF(E12&lt;0.5,"FLAG",""))</f>
        <v/>
      </c>
    </row>
    <row r="13" customFormat="false" ht="15" hidden="false" customHeight="false" outlineLevel="0" collapsed="false">
      <c r="A13" s="10" t="s">
        <v>80</v>
      </c>
      <c r="B13" s="10" t="s">
        <v>68</v>
      </c>
      <c r="C13" s="10" t="n">
        <f aca="false">COUNTIFS(SCORES!$A$2:$A$2000,A13,SCORES!$B$2:$B$2000,B13,SCORES!$D$2:$D$2000,"&gt;=0")</f>
        <v>8</v>
      </c>
      <c r="D13" s="10" t="n">
        <f aca="false">COUNTIFS(SCORES!$A$2:$A$2000,A13,SCORES!$B$2:$B$2000,B13,SCORES!$D$2:$D$2000,"&gt;=4")</f>
        <v>1</v>
      </c>
      <c r="E13" s="14" t="n">
        <f aca="false">IF(C13=0,"",D13/C13)</f>
        <v>0.125</v>
      </c>
      <c r="F13" s="10" t="str">
        <f aca="false">IF(C13=0,"",IF(E13&lt;0.5,"FLAG",""))</f>
        <v>FLAG</v>
      </c>
    </row>
    <row r="14" customFormat="false" ht="15" hidden="false" customHeight="false" outlineLevel="0" collapsed="false">
      <c r="A14" s="7" t="s">
        <v>81</v>
      </c>
      <c r="B14" s="7" t="s">
        <v>68</v>
      </c>
      <c r="C14" s="7" t="n">
        <f aca="false">COUNTIFS(SCORES!$A$2:$A$2000,A14,SCORES!$B$2:$B$2000,B14,SCORES!$D$2:$D$2000,"&gt;=0")</f>
        <v>8</v>
      </c>
      <c r="D14" s="7" t="n">
        <f aca="false">COUNTIFS(SCORES!$A$2:$A$2000,A14,SCORES!$B$2:$B$2000,B14,SCORES!$D$2:$D$2000,"&gt;=4")</f>
        <v>0</v>
      </c>
      <c r="E14" s="12" t="n">
        <f aca="false">IF(C14=0,"",D14/C14)</f>
        <v>0</v>
      </c>
      <c r="F14" s="7" t="str">
        <f aca="false">IF(C14=0,"",IF(E14&lt;0.5,"FLAG",""))</f>
        <v>FLAG</v>
      </c>
    </row>
    <row r="15" customFormat="false" ht="15" hidden="false" customHeight="false" outlineLevel="0" collapsed="false">
      <c r="A15" s="10" t="s">
        <v>82</v>
      </c>
      <c r="B15" s="10" t="s">
        <v>68</v>
      </c>
      <c r="C15" s="10" t="n">
        <f aca="false">COUNTIFS(SCORES!$A$2:$A$2000,A15,SCORES!$B$2:$B$2000,B15,SCORES!$D$2:$D$2000,"&gt;=0")</f>
        <v>8</v>
      </c>
      <c r="D15" s="10" t="n">
        <f aca="false">COUNTIFS(SCORES!$A$2:$A$2000,A15,SCORES!$B$2:$B$2000,B15,SCORES!$D$2:$D$2000,"&gt;=4")</f>
        <v>5</v>
      </c>
      <c r="E15" s="14" t="n">
        <f aca="false">IF(C15=0,"",D15/C15)</f>
        <v>0.625</v>
      </c>
      <c r="F15" s="10" t="str">
        <f aca="false">IF(C15=0,"",IF(E15&lt;0.5,"FLAG",""))</f>
        <v/>
      </c>
    </row>
    <row r="16" customFormat="false" ht="15" hidden="false" customHeight="false" outlineLevel="0" collapsed="false">
      <c r="A16" s="7" t="s">
        <v>83</v>
      </c>
      <c r="B16" s="7" t="s">
        <v>68</v>
      </c>
      <c r="C16" s="7" t="n">
        <f aca="false">COUNTIFS(SCORES!$A$2:$A$2000,A16,SCORES!$B$2:$B$2000,B16,SCORES!$D$2:$D$2000,"&gt;=0")</f>
        <v>5</v>
      </c>
      <c r="D16" s="7" t="n">
        <f aca="false">COUNTIFS(SCORES!$A$2:$A$2000,A16,SCORES!$B$2:$B$2000,B16,SCORES!$D$2:$D$2000,"&gt;=4")</f>
        <v>3</v>
      </c>
      <c r="E16" s="12" t="n">
        <f aca="false">IF(C16=0,"",D16/C16)</f>
        <v>0.6</v>
      </c>
      <c r="F16" s="7" t="str">
        <f aca="false">IF(C16=0,"",IF(E16&lt;0.5,"FLAG",""))</f>
        <v/>
      </c>
    </row>
    <row r="17" customFormat="false" ht="15" hidden="false" customHeight="false" outlineLevel="0" collapsed="false">
      <c r="A17" s="10" t="s">
        <v>84</v>
      </c>
      <c r="B17" s="10" t="s">
        <v>68</v>
      </c>
      <c r="C17" s="10" t="n">
        <f aca="false">COUNTIFS(SCORES!$A$2:$A$2000,A17,SCORES!$B$2:$B$2000,B17,SCORES!$D$2:$D$2000,"&gt;=0")</f>
        <v>6</v>
      </c>
      <c r="D17" s="10" t="n">
        <f aca="false">COUNTIFS(SCORES!$A$2:$A$2000,A17,SCORES!$B$2:$B$2000,B17,SCORES!$D$2:$D$2000,"&gt;=4")</f>
        <v>3</v>
      </c>
      <c r="E17" s="14" t="n">
        <f aca="false">IF(C17=0,"",D17/C17)</f>
        <v>0.5</v>
      </c>
      <c r="F17" s="10" t="str">
        <f aca="false">IF(C17=0,"",IF(E17&lt;0.5,"FLAG",""))</f>
        <v/>
      </c>
    </row>
    <row r="18" customFormat="false" ht="15" hidden="false" customHeight="false" outlineLevel="0" collapsed="false">
      <c r="A18" s="7" t="s">
        <v>85</v>
      </c>
      <c r="B18" s="7" t="s">
        <v>68</v>
      </c>
      <c r="C18" s="7" t="n">
        <f aca="false">COUNTIFS(SCORES!$A$2:$A$2000,A18,SCORES!$B$2:$B$2000,B18,SCORES!$D$2:$D$2000,"&gt;=0")</f>
        <v>7</v>
      </c>
      <c r="D18" s="7" t="n">
        <f aca="false">COUNTIFS(SCORES!$A$2:$A$2000,A18,SCORES!$B$2:$B$2000,B18,SCORES!$D$2:$D$2000,"&gt;=4")</f>
        <v>0</v>
      </c>
      <c r="E18" s="12" t="n">
        <f aca="false">IF(C18=0,"",D18/C18)</f>
        <v>0</v>
      </c>
      <c r="F18" s="7" t="str">
        <f aca="false">IF(C18=0,"",IF(E18&lt;0.5,"FLAG",""))</f>
        <v>FLAG</v>
      </c>
    </row>
    <row r="19" customFormat="false" ht="15" hidden="false" customHeight="false" outlineLevel="0" collapsed="false">
      <c r="A19" s="10" t="s">
        <v>86</v>
      </c>
      <c r="B19" s="10" t="s">
        <v>68</v>
      </c>
      <c r="C19" s="10" t="n">
        <f aca="false">COUNTIFS(SCORES!$A$2:$A$2000,A19,SCORES!$B$2:$B$2000,B19,SCORES!$D$2:$D$2000,"&gt;=0")</f>
        <v>8</v>
      </c>
      <c r="D19" s="10" t="n">
        <f aca="false">COUNTIFS(SCORES!$A$2:$A$2000,A19,SCORES!$B$2:$B$2000,B19,SCORES!$D$2:$D$2000,"&gt;=4")</f>
        <v>0</v>
      </c>
      <c r="E19" s="14" t="n">
        <f aca="false">IF(C19=0,"",D19/C19)</f>
        <v>0</v>
      </c>
      <c r="F19" s="10" t="str">
        <f aca="false">IF(C19=0,"",IF(E19&lt;0.5,"FLAG",""))</f>
        <v>FLAG</v>
      </c>
    </row>
    <row r="20" customFormat="false" ht="15" hidden="false" customHeight="false" outlineLevel="0" collapsed="false">
      <c r="A20" s="7" t="s">
        <v>87</v>
      </c>
      <c r="B20" s="7" t="s">
        <v>68</v>
      </c>
      <c r="C20" s="7" t="n">
        <f aca="false">COUNTIFS(SCORES!$A$2:$A$2000,A20,SCORES!$B$2:$B$2000,B20,SCORES!$D$2:$D$2000,"&gt;=0")</f>
        <v>7</v>
      </c>
      <c r="D20" s="7" t="n">
        <f aca="false">COUNTIFS(SCORES!$A$2:$A$2000,A20,SCORES!$B$2:$B$2000,B20,SCORES!$D$2:$D$2000,"&gt;=4")</f>
        <v>4</v>
      </c>
      <c r="E20" s="12" t="n">
        <f aca="false">IF(C20=0,"",D20/C20)</f>
        <v>0.571428571428571</v>
      </c>
      <c r="F20" s="7" t="str">
        <f aca="false">IF(C20=0,"",IF(E20&lt;0.5,"FLAG",""))</f>
        <v/>
      </c>
    </row>
    <row r="21" customFormat="false" ht="15" hidden="false" customHeight="false" outlineLevel="0" collapsed="false">
      <c r="A21" s="10" t="s">
        <v>88</v>
      </c>
      <c r="B21" s="10" t="s">
        <v>68</v>
      </c>
      <c r="C21" s="10" t="n">
        <f aca="false">COUNTIFS(SCORES!$A$2:$A$2000,A21,SCORES!$B$2:$B$2000,B21,SCORES!$D$2:$D$2000,"&gt;=0")</f>
        <v>8</v>
      </c>
      <c r="D21" s="10" t="n">
        <f aca="false">COUNTIFS(SCORES!$A$2:$A$2000,A21,SCORES!$B$2:$B$2000,B21,SCORES!$D$2:$D$2000,"&gt;=4")</f>
        <v>1</v>
      </c>
      <c r="E21" s="14" t="n">
        <f aca="false">IF(C21=0,"",D21/C21)</f>
        <v>0.125</v>
      </c>
      <c r="F21" s="10" t="str">
        <f aca="false">IF(C21=0,"",IF(E21&lt;0.5,"FLAG",""))</f>
        <v>FLAG</v>
      </c>
    </row>
    <row r="22" customFormat="false" ht="15" hidden="false" customHeight="false" outlineLevel="0" collapsed="false">
      <c r="A22" s="7" t="s">
        <v>89</v>
      </c>
      <c r="B22" s="7" t="s">
        <v>68</v>
      </c>
      <c r="C22" s="7" t="n">
        <f aca="false">COUNTIFS(SCORES!$A$2:$A$2000,A22,SCORES!$B$2:$B$2000,B22,SCORES!$D$2:$D$2000,"&gt;=0")</f>
        <v>8</v>
      </c>
      <c r="D22" s="7" t="n">
        <f aca="false">COUNTIFS(SCORES!$A$2:$A$2000,A22,SCORES!$B$2:$B$2000,B22,SCORES!$D$2:$D$2000,"&gt;=4")</f>
        <v>4</v>
      </c>
      <c r="E22" s="12" t="n">
        <f aca="false">IF(C22=0,"",D22/C22)</f>
        <v>0.5</v>
      </c>
      <c r="F22" s="7" t="str">
        <f aca="false">IF(C22=0,"",IF(E22&lt;0.5,"FLAG",""))</f>
        <v/>
      </c>
    </row>
    <row r="23" customFormat="false" ht="15" hidden="false" customHeight="false" outlineLevel="0" collapsed="false">
      <c r="A23" s="10" t="s">
        <v>90</v>
      </c>
      <c r="B23" s="10" t="s">
        <v>68</v>
      </c>
      <c r="C23" s="10" t="n">
        <f aca="false">COUNTIFS(SCORES!$A$2:$A$2000,A23,SCORES!$B$2:$B$2000,B23,SCORES!$D$2:$D$2000,"&gt;=0")</f>
        <v>8</v>
      </c>
      <c r="D23" s="10" t="n">
        <f aca="false">COUNTIFS(SCORES!$A$2:$A$2000,A23,SCORES!$B$2:$B$2000,B23,SCORES!$D$2:$D$2000,"&gt;=4")</f>
        <v>2</v>
      </c>
      <c r="E23" s="14" t="n">
        <f aca="false">IF(C23=0,"",D23/C23)</f>
        <v>0.25</v>
      </c>
      <c r="F23" s="10" t="str">
        <f aca="false">IF(C23=0,"",IF(E23&lt;0.5,"FLAG",""))</f>
        <v>FLAG</v>
      </c>
    </row>
    <row r="24" customFormat="false" ht="15" hidden="false" customHeight="false" outlineLevel="0" collapsed="false">
      <c r="A24" s="7" t="s">
        <v>91</v>
      </c>
      <c r="B24" s="7" t="s">
        <v>68</v>
      </c>
      <c r="C24" s="7" t="n">
        <f aca="false">COUNTIFS(SCORES!$A$2:$A$2000,A24,SCORES!$B$2:$B$2000,B24,SCORES!$D$2:$D$2000,"&gt;=0")</f>
        <v>7</v>
      </c>
      <c r="D24" s="7" t="n">
        <f aca="false">COUNTIFS(SCORES!$A$2:$A$2000,A24,SCORES!$B$2:$B$2000,B24,SCORES!$D$2:$D$2000,"&gt;=4")</f>
        <v>4</v>
      </c>
      <c r="E24" s="12" t="n">
        <f aca="false">IF(C24=0,"",D24/C24)</f>
        <v>0.571428571428571</v>
      </c>
      <c r="F24" s="7" t="str">
        <f aca="false">IF(C24=0,"",IF(E24&lt;0.5,"FLAG",""))</f>
        <v/>
      </c>
    </row>
    <row r="25" customFormat="false" ht="15" hidden="false" customHeight="false" outlineLevel="0" collapsed="false">
      <c r="A25" s="10" t="s">
        <v>92</v>
      </c>
      <c r="B25" s="10" t="s">
        <v>68</v>
      </c>
      <c r="C25" s="10" t="n">
        <f aca="false">COUNTIFS(SCORES!$A$2:$A$2000,A25,SCORES!$B$2:$B$2000,B25,SCORES!$D$2:$D$2000,"&gt;=0")</f>
        <v>6</v>
      </c>
      <c r="D25" s="10" t="n">
        <f aca="false">COUNTIFS(SCORES!$A$2:$A$2000,A25,SCORES!$B$2:$B$2000,B25,SCORES!$D$2:$D$2000,"&gt;=4")</f>
        <v>1</v>
      </c>
      <c r="E25" s="14" t="n">
        <f aca="false">IF(C25=0,"",D25/C25)</f>
        <v>0.166666666666667</v>
      </c>
      <c r="F25" s="10" t="str">
        <f aca="false">IF(C25=0,"",IF(E25&lt;0.5,"FLAG",""))</f>
        <v>FLAG</v>
      </c>
    </row>
    <row r="26" customFormat="false" ht="15" hidden="false" customHeight="false" outlineLevel="0" collapsed="false">
      <c r="A26" s="7" t="s">
        <v>93</v>
      </c>
      <c r="B26" s="7" t="s">
        <v>68</v>
      </c>
      <c r="C26" s="7" t="n">
        <f aca="false">COUNTIFS(SCORES!$A$2:$A$2000,A26,SCORES!$B$2:$B$2000,B26,SCORES!$D$2:$D$2000,"&gt;=0")</f>
        <v>7</v>
      </c>
      <c r="D26" s="7" t="n">
        <f aca="false">COUNTIFS(SCORES!$A$2:$A$2000,A26,SCORES!$B$2:$B$2000,B26,SCORES!$D$2:$D$2000,"&gt;=4")</f>
        <v>0</v>
      </c>
      <c r="E26" s="12" t="n">
        <f aca="false">IF(C26=0,"",D26/C26)</f>
        <v>0</v>
      </c>
      <c r="F26" s="7" t="str">
        <f aca="false">IF(C26=0,"",IF(E26&lt;0.5,"FLAG",""))</f>
        <v>FLAG</v>
      </c>
    </row>
    <row r="27" customFormat="false" ht="15" hidden="false" customHeight="false" outlineLevel="0" collapsed="false">
      <c r="A27" s="10" t="s">
        <v>67</v>
      </c>
      <c r="B27" s="10" t="s">
        <v>94</v>
      </c>
      <c r="C27" s="10" t="n">
        <f aca="false">COUNTIFS(SCORES!$A$2:$A$2000,A27,SCORES!$B$2:$B$2000,B27,SCORES!$D$2:$D$2000,"&gt;=0")</f>
        <v>7</v>
      </c>
      <c r="D27" s="10" t="n">
        <f aca="false">COUNTIFS(SCORES!$A$2:$A$2000,A27,SCORES!$B$2:$B$2000,B27,SCORES!$D$2:$D$2000,"&gt;=4")</f>
        <v>5</v>
      </c>
      <c r="E27" s="14" t="n">
        <f aca="false">IF(C27=0,"",D27/C27)</f>
        <v>0.714285714285714</v>
      </c>
      <c r="F27" s="10" t="str">
        <f aca="false">IF(C27=0,"",IF(E27&lt;0.5,"FLAG",""))</f>
        <v/>
      </c>
    </row>
    <row r="28" customFormat="false" ht="15" hidden="false" customHeight="false" outlineLevel="0" collapsed="false">
      <c r="A28" s="7" t="s">
        <v>69</v>
      </c>
      <c r="B28" s="7" t="s">
        <v>94</v>
      </c>
      <c r="C28" s="7" t="n">
        <f aca="false">COUNTIFS(SCORES!$A$2:$A$2000,A28,SCORES!$B$2:$B$2000,B28,SCORES!$D$2:$D$2000,"&gt;=0")</f>
        <v>7</v>
      </c>
      <c r="D28" s="7" t="n">
        <f aca="false">COUNTIFS(SCORES!$A$2:$A$2000,A28,SCORES!$B$2:$B$2000,B28,SCORES!$D$2:$D$2000,"&gt;=4")</f>
        <v>1</v>
      </c>
      <c r="E28" s="12" t="n">
        <f aca="false">IF(C28=0,"",D28/C28)</f>
        <v>0.142857142857143</v>
      </c>
      <c r="F28" s="7" t="str">
        <f aca="false">IF(C28=0,"",IF(E28&lt;0.5,"FLAG",""))</f>
        <v>FLAG</v>
      </c>
    </row>
    <row r="29" customFormat="false" ht="15" hidden="false" customHeight="false" outlineLevel="0" collapsed="false">
      <c r="A29" s="10" t="s">
        <v>71</v>
      </c>
      <c r="B29" s="10" t="s">
        <v>94</v>
      </c>
      <c r="C29" s="10" t="n">
        <f aca="false">COUNTIFS(SCORES!$A$2:$A$2000,A29,SCORES!$B$2:$B$2000,B29,SCORES!$D$2:$D$2000,"&gt;=0")</f>
        <v>7</v>
      </c>
      <c r="D29" s="10" t="n">
        <f aca="false">COUNTIFS(SCORES!$A$2:$A$2000,A29,SCORES!$B$2:$B$2000,B29,SCORES!$D$2:$D$2000,"&gt;=4")</f>
        <v>7</v>
      </c>
      <c r="E29" s="14" t="n">
        <f aca="false">IF(C29=0,"",D29/C29)</f>
        <v>1</v>
      </c>
      <c r="F29" s="10" t="str">
        <f aca="false">IF(C29=0,"",IF(E29&lt;0.5,"FLAG",""))</f>
        <v/>
      </c>
    </row>
    <row r="30" customFormat="false" ht="15" hidden="false" customHeight="false" outlineLevel="0" collapsed="false">
      <c r="A30" s="7" t="s">
        <v>72</v>
      </c>
      <c r="B30" s="7" t="s">
        <v>94</v>
      </c>
      <c r="C30" s="7" t="n">
        <f aca="false">COUNTIFS(SCORES!$A$2:$A$2000,A30,SCORES!$B$2:$B$2000,B30,SCORES!$D$2:$D$2000,"&gt;=0")</f>
        <v>8</v>
      </c>
      <c r="D30" s="7" t="n">
        <f aca="false">COUNTIFS(SCORES!$A$2:$A$2000,A30,SCORES!$B$2:$B$2000,B30,SCORES!$D$2:$D$2000,"&gt;=4")</f>
        <v>0</v>
      </c>
      <c r="E30" s="12" t="n">
        <f aca="false">IF(C30=0,"",D30/C30)</f>
        <v>0</v>
      </c>
      <c r="F30" s="7" t="str">
        <f aca="false">IF(C30=0,"",IF(E30&lt;0.5,"FLAG",""))</f>
        <v>FLAG</v>
      </c>
    </row>
    <row r="31" customFormat="false" ht="15" hidden="false" customHeight="false" outlineLevel="0" collapsed="false">
      <c r="A31" s="10" t="s">
        <v>73</v>
      </c>
      <c r="B31" s="10" t="s">
        <v>94</v>
      </c>
      <c r="C31" s="10" t="n">
        <f aca="false">COUNTIFS(SCORES!$A$2:$A$2000,A31,SCORES!$B$2:$B$2000,B31,SCORES!$D$2:$D$2000,"&gt;=0")</f>
        <v>7</v>
      </c>
      <c r="D31" s="10" t="n">
        <f aca="false">COUNTIFS(SCORES!$A$2:$A$2000,A31,SCORES!$B$2:$B$2000,B31,SCORES!$D$2:$D$2000,"&gt;=4")</f>
        <v>5</v>
      </c>
      <c r="E31" s="14" t="n">
        <f aca="false">IF(C31=0,"",D31/C31)</f>
        <v>0.714285714285714</v>
      </c>
      <c r="F31" s="10" t="str">
        <f aca="false">IF(C31=0,"",IF(E31&lt;0.5,"FLAG",""))</f>
        <v/>
      </c>
    </row>
    <row r="32" customFormat="false" ht="15" hidden="false" customHeight="false" outlineLevel="0" collapsed="false">
      <c r="A32" s="7" t="s">
        <v>74</v>
      </c>
      <c r="B32" s="7" t="s">
        <v>94</v>
      </c>
      <c r="C32" s="7" t="n">
        <f aca="false">COUNTIFS(SCORES!$A$2:$A$2000,A32,SCORES!$B$2:$B$2000,B32,SCORES!$D$2:$D$2000,"&gt;=0")</f>
        <v>8</v>
      </c>
      <c r="D32" s="7" t="n">
        <f aca="false">COUNTIFS(SCORES!$A$2:$A$2000,A32,SCORES!$B$2:$B$2000,B32,SCORES!$D$2:$D$2000,"&gt;=4")</f>
        <v>0</v>
      </c>
      <c r="E32" s="12" t="n">
        <f aca="false">IF(C32=0,"",D32/C32)</f>
        <v>0</v>
      </c>
      <c r="F32" s="7" t="str">
        <f aca="false">IF(C32=0,"",IF(E32&lt;0.5,"FLAG",""))</f>
        <v>FLAG</v>
      </c>
    </row>
    <row r="33" customFormat="false" ht="15" hidden="false" customHeight="false" outlineLevel="0" collapsed="false">
      <c r="A33" s="10" t="s">
        <v>75</v>
      </c>
      <c r="B33" s="10" t="s">
        <v>94</v>
      </c>
      <c r="C33" s="10" t="n">
        <f aca="false">COUNTIFS(SCORES!$A$2:$A$2000,A33,SCORES!$B$2:$B$2000,B33,SCORES!$D$2:$D$2000,"&gt;=0")</f>
        <v>8</v>
      </c>
      <c r="D33" s="10" t="n">
        <f aca="false">COUNTIFS(SCORES!$A$2:$A$2000,A33,SCORES!$B$2:$B$2000,B33,SCORES!$D$2:$D$2000,"&gt;=4")</f>
        <v>0</v>
      </c>
      <c r="E33" s="14" t="n">
        <f aca="false">IF(C33=0,"",D33/C33)</f>
        <v>0</v>
      </c>
      <c r="F33" s="10" t="str">
        <f aca="false">IF(C33=0,"",IF(E33&lt;0.5,"FLAG",""))</f>
        <v>FLAG</v>
      </c>
    </row>
    <row r="34" customFormat="false" ht="15" hidden="false" customHeight="false" outlineLevel="0" collapsed="false">
      <c r="A34" s="7" t="s">
        <v>76</v>
      </c>
      <c r="B34" s="7" t="s">
        <v>94</v>
      </c>
      <c r="C34" s="7" t="n">
        <f aca="false">COUNTIFS(SCORES!$A$2:$A$2000,A34,SCORES!$B$2:$B$2000,B34,SCORES!$D$2:$D$2000,"&gt;=0")</f>
        <v>7</v>
      </c>
      <c r="D34" s="7" t="n">
        <f aca="false">COUNTIFS(SCORES!$A$2:$A$2000,A34,SCORES!$B$2:$B$2000,B34,SCORES!$D$2:$D$2000,"&gt;=4")</f>
        <v>0</v>
      </c>
      <c r="E34" s="12" t="n">
        <f aca="false">IF(C34=0,"",D34/C34)</f>
        <v>0</v>
      </c>
      <c r="F34" s="7" t="str">
        <f aca="false">IF(C34=0,"",IF(E34&lt;0.5,"FLAG",""))</f>
        <v>FLAG</v>
      </c>
    </row>
    <row r="35" customFormat="false" ht="15" hidden="false" customHeight="false" outlineLevel="0" collapsed="false">
      <c r="A35" s="10" t="s">
        <v>77</v>
      </c>
      <c r="B35" s="10" t="s">
        <v>94</v>
      </c>
      <c r="C35" s="10" t="n">
        <f aca="false">COUNTIFS(SCORES!$A$2:$A$2000,A35,SCORES!$B$2:$B$2000,B35,SCORES!$D$2:$D$2000,"&gt;=0")</f>
        <v>5</v>
      </c>
      <c r="D35" s="10" t="n">
        <f aca="false">COUNTIFS(SCORES!$A$2:$A$2000,A35,SCORES!$B$2:$B$2000,B35,SCORES!$D$2:$D$2000,"&gt;=4")</f>
        <v>2</v>
      </c>
      <c r="E35" s="14" t="n">
        <f aca="false">IF(C35=0,"",D35/C35)</f>
        <v>0.4</v>
      </c>
      <c r="F35" s="10" t="str">
        <f aca="false">IF(C35=0,"",IF(E35&lt;0.5,"FLAG",""))</f>
        <v>FLAG</v>
      </c>
    </row>
    <row r="36" customFormat="false" ht="15" hidden="false" customHeight="false" outlineLevel="0" collapsed="false">
      <c r="A36" s="7" t="s">
        <v>78</v>
      </c>
      <c r="B36" s="7" t="s">
        <v>94</v>
      </c>
      <c r="C36" s="7" t="n">
        <f aca="false">COUNTIFS(SCORES!$A$2:$A$2000,A36,SCORES!$B$2:$B$2000,B36,SCORES!$D$2:$D$2000,"&gt;=0")</f>
        <v>8</v>
      </c>
      <c r="D36" s="7" t="n">
        <f aca="false">COUNTIFS(SCORES!$A$2:$A$2000,A36,SCORES!$B$2:$B$2000,B36,SCORES!$D$2:$D$2000,"&gt;=4")</f>
        <v>1</v>
      </c>
      <c r="E36" s="12" t="n">
        <f aca="false">IF(C36=0,"",D36/C36)</f>
        <v>0.125</v>
      </c>
      <c r="F36" s="7" t="str">
        <f aca="false">IF(C36=0,"",IF(E36&lt;0.5,"FLAG",""))</f>
        <v>FLAG</v>
      </c>
    </row>
    <row r="37" customFormat="false" ht="15" hidden="false" customHeight="false" outlineLevel="0" collapsed="false">
      <c r="A37" s="10" t="s">
        <v>79</v>
      </c>
      <c r="B37" s="10" t="s">
        <v>94</v>
      </c>
      <c r="C37" s="10" t="n">
        <f aca="false">COUNTIFS(SCORES!$A$2:$A$2000,A37,SCORES!$B$2:$B$2000,B37,SCORES!$D$2:$D$2000,"&gt;=0")</f>
        <v>8</v>
      </c>
      <c r="D37" s="10" t="n">
        <f aca="false">COUNTIFS(SCORES!$A$2:$A$2000,A37,SCORES!$B$2:$B$2000,B37,SCORES!$D$2:$D$2000,"&gt;=4")</f>
        <v>5</v>
      </c>
      <c r="E37" s="14" t="n">
        <f aca="false">IF(C37=0,"",D37/C37)</f>
        <v>0.625</v>
      </c>
      <c r="F37" s="10" t="str">
        <f aca="false">IF(C37=0,"",IF(E37&lt;0.5,"FLAG",""))</f>
        <v/>
      </c>
    </row>
    <row r="38" customFormat="false" ht="15" hidden="false" customHeight="false" outlineLevel="0" collapsed="false">
      <c r="A38" s="7" t="s">
        <v>80</v>
      </c>
      <c r="B38" s="7" t="s">
        <v>94</v>
      </c>
      <c r="C38" s="7" t="n">
        <f aca="false">COUNTIFS(SCORES!$A$2:$A$2000,A38,SCORES!$B$2:$B$2000,B38,SCORES!$D$2:$D$2000,"&gt;=0")</f>
        <v>8</v>
      </c>
      <c r="D38" s="7" t="n">
        <f aca="false">COUNTIFS(SCORES!$A$2:$A$2000,A38,SCORES!$B$2:$B$2000,B38,SCORES!$D$2:$D$2000,"&gt;=4")</f>
        <v>1</v>
      </c>
      <c r="E38" s="12" t="n">
        <f aca="false">IF(C38=0,"",D38/C38)</f>
        <v>0.125</v>
      </c>
      <c r="F38" s="7" t="str">
        <f aca="false">IF(C38=0,"",IF(E38&lt;0.5,"FLAG",""))</f>
        <v>FLAG</v>
      </c>
    </row>
    <row r="39" customFormat="false" ht="15" hidden="false" customHeight="false" outlineLevel="0" collapsed="false">
      <c r="A39" s="10" t="s">
        <v>81</v>
      </c>
      <c r="B39" s="10" t="s">
        <v>94</v>
      </c>
      <c r="C39" s="10" t="n">
        <f aca="false">COUNTIFS(SCORES!$A$2:$A$2000,A39,SCORES!$B$2:$B$2000,B39,SCORES!$D$2:$D$2000,"&gt;=0")</f>
        <v>7</v>
      </c>
      <c r="D39" s="10" t="n">
        <f aca="false">COUNTIFS(SCORES!$A$2:$A$2000,A39,SCORES!$B$2:$B$2000,B39,SCORES!$D$2:$D$2000,"&gt;=4")</f>
        <v>1</v>
      </c>
      <c r="E39" s="14" t="n">
        <f aca="false">IF(C39=0,"",D39/C39)</f>
        <v>0.142857142857143</v>
      </c>
      <c r="F39" s="10" t="str">
        <f aca="false">IF(C39=0,"",IF(E39&lt;0.5,"FLAG",""))</f>
        <v>FLAG</v>
      </c>
    </row>
    <row r="40" customFormat="false" ht="15" hidden="false" customHeight="false" outlineLevel="0" collapsed="false">
      <c r="A40" s="7" t="s">
        <v>82</v>
      </c>
      <c r="B40" s="7" t="s">
        <v>94</v>
      </c>
      <c r="C40" s="7" t="n">
        <f aca="false">COUNTIFS(SCORES!$A$2:$A$2000,A40,SCORES!$B$2:$B$2000,B40,SCORES!$D$2:$D$2000,"&gt;=0")</f>
        <v>6</v>
      </c>
      <c r="D40" s="7" t="n">
        <f aca="false">COUNTIFS(SCORES!$A$2:$A$2000,A40,SCORES!$B$2:$B$2000,B40,SCORES!$D$2:$D$2000,"&gt;=4")</f>
        <v>2</v>
      </c>
      <c r="E40" s="12" t="n">
        <f aca="false">IF(C40=0,"",D40/C40)</f>
        <v>0.333333333333333</v>
      </c>
      <c r="F40" s="7" t="str">
        <f aca="false">IF(C40=0,"",IF(E40&lt;0.5,"FLAG",""))</f>
        <v>FLAG</v>
      </c>
    </row>
    <row r="41" customFormat="false" ht="15" hidden="false" customHeight="false" outlineLevel="0" collapsed="false">
      <c r="A41" s="10" t="s">
        <v>83</v>
      </c>
      <c r="B41" s="10" t="s">
        <v>94</v>
      </c>
      <c r="C41" s="10" t="n">
        <f aca="false">COUNTIFS(SCORES!$A$2:$A$2000,A41,SCORES!$B$2:$B$2000,B41,SCORES!$D$2:$D$2000,"&gt;=0")</f>
        <v>7</v>
      </c>
      <c r="D41" s="10" t="n">
        <f aca="false">COUNTIFS(SCORES!$A$2:$A$2000,A41,SCORES!$B$2:$B$2000,B41,SCORES!$D$2:$D$2000,"&gt;=4")</f>
        <v>5</v>
      </c>
      <c r="E41" s="14" t="n">
        <f aca="false">IF(C41=0,"",D41/C41)</f>
        <v>0.714285714285714</v>
      </c>
      <c r="F41" s="10" t="str">
        <f aca="false">IF(C41=0,"",IF(E41&lt;0.5,"FLAG",""))</f>
        <v/>
      </c>
    </row>
    <row r="42" customFormat="false" ht="15" hidden="false" customHeight="false" outlineLevel="0" collapsed="false">
      <c r="A42" s="7" t="s">
        <v>84</v>
      </c>
      <c r="B42" s="7" t="s">
        <v>94</v>
      </c>
      <c r="C42" s="7" t="n">
        <f aca="false">COUNTIFS(SCORES!$A$2:$A$2000,A42,SCORES!$B$2:$B$2000,B42,SCORES!$D$2:$D$2000,"&gt;=0")</f>
        <v>6</v>
      </c>
      <c r="D42" s="7" t="n">
        <f aca="false">COUNTIFS(SCORES!$A$2:$A$2000,A42,SCORES!$B$2:$B$2000,B42,SCORES!$D$2:$D$2000,"&gt;=4")</f>
        <v>0</v>
      </c>
      <c r="E42" s="12" t="n">
        <f aca="false">IF(C42=0,"",D42/C42)</f>
        <v>0</v>
      </c>
      <c r="F42" s="7" t="str">
        <f aca="false">IF(C42=0,"",IF(E42&lt;0.5,"FLAG",""))</f>
        <v>FLAG</v>
      </c>
    </row>
    <row r="43" customFormat="false" ht="15" hidden="false" customHeight="false" outlineLevel="0" collapsed="false">
      <c r="A43" s="10" t="s">
        <v>85</v>
      </c>
      <c r="B43" s="10" t="s">
        <v>94</v>
      </c>
      <c r="C43" s="10" t="n">
        <f aca="false">COUNTIFS(SCORES!$A$2:$A$2000,A43,SCORES!$B$2:$B$2000,B43,SCORES!$D$2:$D$2000,"&gt;=0")</f>
        <v>8</v>
      </c>
      <c r="D43" s="10" t="n">
        <f aca="false">COUNTIFS(SCORES!$A$2:$A$2000,A43,SCORES!$B$2:$B$2000,B43,SCORES!$D$2:$D$2000,"&gt;=4")</f>
        <v>3</v>
      </c>
      <c r="E43" s="14" t="n">
        <f aca="false">IF(C43=0,"",D43/C43)</f>
        <v>0.375</v>
      </c>
      <c r="F43" s="10" t="str">
        <f aca="false">IF(C43=0,"",IF(E43&lt;0.5,"FLAG",""))</f>
        <v>FLAG</v>
      </c>
    </row>
    <row r="44" customFormat="false" ht="15" hidden="false" customHeight="false" outlineLevel="0" collapsed="false">
      <c r="A44" s="7" t="s">
        <v>86</v>
      </c>
      <c r="B44" s="7" t="s">
        <v>94</v>
      </c>
      <c r="C44" s="7" t="n">
        <f aca="false">COUNTIFS(SCORES!$A$2:$A$2000,A44,SCORES!$B$2:$B$2000,B44,SCORES!$D$2:$D$2000,"&gt;=0")</f>
        <v>7</v>
      </c>
      <c r="D44" s="7" t="n">
        <f aca="false">COUNTIFS(SCORES!$A$2:$A$2000,A44,SCORES!$B$2:$B$2000,B44,SCORES!$D$2:$D$2000,"&gt;=4")</f>
        <v>3</v>
      </c>
      <c r="E44" s="12" t="n">
        <f aca="false">IF(C44=0,"",D44/C44)</f>
        <v>0.428571428571429</v>
      </c>
      <c r="F44" s="7" t="str">
        <f aca="false">IF(C44=0,"",IF(E44&lt;0.5,"FLAG",""))</f>
        <v>FLAG</v>
      </c>
    </row>
    <row r="45" customFormat="false" ht="15" hidden="false" customHeight="false" outlineLevel="0" collapsed="false">
      <c r="A45" s="10" t="s">
        <v>87</v>
      </c>
      <c r="B45" s="10" t="s">
        <v>94</v>
      </c>
      <c r="C45" s="10" t="n">
        <f aca="false">COUNTIFS(SCORES!$A$2:$A$2000,A45,SCORES!$B$2:$B$2000,B45,SCORES!$D$2:$D$2000,"&gt;=0")</f>
        <v>8</v>
      </c>
      <c r="D45" s="10" t="n">
        <f aca="false">COUNTIFS(SCORES!$A$2:$A$2000,A45,SCORES!$B$2:$B$2000,B45,SCORES!$D$2:$D$2000,"&gt;=4")</f>
        <v>0</v>
      </c>
      <c r="E45" s="14" t="n">
        <f aca="false">IF(C45=0,"",D45/C45)</f>
        <v>0</v>
      </c>
      <c r="F45" s="10" t="str">
        <f aca="false">IF(C45=0,"",IF(E45&lt;0.5,"FLAG",""))</f>
        <v>FLAG</v>
      </c>
    </row>
    <row r="46" customFormat="false" ht="15" hidden="false" customHeight="false" outlineLevel="0" collapsed="false">
      <c r="A46" s="7" t="s">
        <v>88</v>
      </c>
      <c r="B46" s="7" t="s">
        <v>94</v>
      </c>
      <c r="C46" s="7" t="n">
        <f aca="false">COUNTIFS(SCORES!$A$2:$A$2000,A46,SCORES!$B$2:$B$2000,B46,SCORES!$D$2:$D$2000,"&gt;=0")</f>
        <v>8</v>
      </c>
      <c r="D46" s="7" t="n">
        <f aca="false">COUNTIFS(SCORES!$A$2:$A$2000,A46,SCORES!$B$2:$B$2000,B46,SCORES!$D$2:$D$2000,"&gt;=4")</f>
        <v>1</v>
      </c>
      <c r="E46" s="12" t="n">
        <f aca="false">IF(C46=0,"",D46/C46)</f>
        <v>0.125</v>
      </c>
      <c r="F46" s="7" t="str">
        <f aca="false">IF(C46=0,"",IF(E46&lt;0.5,"FLAG",""))</f>
        <v>FLAG</v>
      </c>
    </row>
    <row r="47" customFormat="false" ht="15" hidden="false" customHeight="false" outlineLevel="0" collapsed="false">
      <c r="A47" s="10" t="s">
        <v>89</v>
      </c>
      <c r="B47" s="10" t="s">
        <v>94</v>
      </c>
      <c r="C47" s="10" t="n">
        <f aca="false">COUNTIFS(SCORES!$A$2:$A$2000,A47,SCORES!$B$2:$B$2000,B47,SCORES!$D$2:$D$2000,"&gt;=0")</f>
        <v>8</v>
      </c>
      <c r="D47" s="10" t="n">
        <f aca="false">COUNTIFS(SCORES!$A$2:$A$2000,A47,SCORES!$B$2:$B$2000,B47,SCORES!$D$2:$D$2000,"&gt;=4")</f>
        <v>6</v>
      </c>
      <c r="E47" s="14" t="n">
        <f aca="false">IF(C47=0,"",D47/C47)</f>
        <v>0.75</v>
      </c>
      <c r="F47" s="10" t="str">
        <f aca="false">IF(C47=0,"",IF(E47&lt;0.5,"FLAG",""))</f>
        <v/>
      </c>
    </row>
    <row r="48" customFormat="false" ht="15" hidden="false" customHeight="false" outlineLevel="0" collapsed="false">
      <c r="A48" s="7" t="s">
        <v>90</v>
      </c>
      <c r="B48" s="7" t="s">
        <v>94</v>
      </c>
      <c r="C48" s="7" t="n">
        <f aca="false">COUNTIFS(SCORES!$A$2:$A$2000,A48,SCORES!$B$2:$B$2000,B48,SCORES!$D$2:$D$2000,"&gt;=0")</f>
        <v>8</v>
      </c>
      <c r="D48" s="7" t="n">
        <f aca="false">COUNTIFS(SCORES!$A$2:$A$2000,A48,SCORES!$B$2:$B$2000,B48,SCORES!$D$2:$D$2000,"&gt;=4")</f>
        <v>0</v>
      </c>
      <c r="E48" s="12" t="n">
        <f aca="false">IF(C48=0,"",D48/C48)</f>
        <v>0</v>
      </c>
      <c r="F48" s="7" t="str">
        <f aca="false">IF(C48=0,"",IF(E48&lt;0.5,"FLAG",""))</f>
        <v>FLAG</v>
      </c>
    </row>
    <row r="49" customFormat="false" ht="15" hidden="false" customHeight="false" outlineLevel="0" collapsed="false">
      <c r="A49" s="10" t="s">
        <v>91</v>
      </c>
      <c r="B49" s="10" t="s">
        <v>94</v>
      </c>
      <c r="C49" s="10" t="n">
        <f aca="false">COUNTIFS(SCORES!$A$2:$A$2000,A49,SCORES!$B$2:$B$2000,B49,SCORES!$D$2:$D$2000,"&gt;=0")</f>
        <v>8</v>
      </c>
      <c r="D49" s="10" t="n">
        <f aca="false">COUNTIFS(SCORES!$A$2:$A$2000,A49,SCORES!$B$2:$B$2000,B49,SCORES!$D$2:$D$2000,"&gt;=4")</f>
        <v>1</v>
      </c>
      <c r="E49" s="14" t="n">
        <f aca="false">IF(C49=0,"",D49/C49)</f>
        <v>0.125</v>
      </c>
      <c r="F49" s="10" t="str">
        <f aca="false">IF(C49=0,"",IF(E49&lt;0.5,"FLAG",""))</f>
        <v>FLAG</v>
      </c>
    </row>
    <row r="50" customFormat="false" ht="15" hidden="false" customHeight="false" outlineLevel="0" collapsed="false">
      <c r="A50" s="7" t="s">
        <v>92</v>
      </c>
      <c r="B50" s="7" t="s">
        <v>94</v>
      </c>
      <c r="C50" s="7" t="n">
        <f aca="false">COUNTIFS(SCORES!$A$2:$A$2000,A50,SCORES!$B$2:$B$2000,B50,SCORES!$D$2:$D$2000,"&gt;=0")</f>
        <v>8</v>
      </c>
      <c r="D50" s="7" t="n">
        <f aca="false">COUNTIFS(SCORES!$A$2:$A$2000,A50,SCORES!$B$2:$B$2000,B50,SCORES!$D$2:$D$2000,"&gt;=4")</f>
        <v>3</v>
      </c>
      <c r="E50" s="12" t="n">
        <f aca="false">IF(C50=0,"",D50/C50)</f>
        <v>0.375</v>
      </c>
      <c r="F50" s="7" t="str">
        <f aca="false">IF(C50=0,"",IF(E50&lt;0.5,"FLAG",""))</f>
        <v>FLAG</v>
      </c>
    </row>
    <row r="51" customFormat="false" ht="15" hidden="false" customHeight="false" outlineLevel="0" collapsed="false">
      <c r="A51" s="10" t="s">
        <v>93</v>
      </c>
      <c r="B51" s="10" t="s">
        <v>94</v>
      </c>
      <c r="C51" s="10" t="n">
        <f aca="false">COUNTIFS(SCORES!$A$2:$A$2000,A51,SCORES!$B$2:$B$2000,B51,SCORES!$D$2:$D$2000,"&gt;=0")</f>
        <v>7</v>
      </c>
      <c r="D51" s="10" t="n">
        <f aca="false">COUNTIFS(SCORES!$A$2:$A$2000,A51,SCORES!$B$2:$B$2000,B51,SCORES!$D$2:$D$2000,"&gt;=4")</f>
        <v>2</v>
      </c>
      <c r="E51" s="14" t="n">
        <f aca="false">IF(C51=0,"",D51/C51)</f>
        <v>0.285714285714286</v>
      </c>
      <c r="F51" s="10" t="str">
        <f aca="false">IF(C51=0,"",IF(E51&lt;0.5,"FLAG",""))</f>
        <v>FLAG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2026-10-10T00:39:05Z</dcterms:created>
  <dc:creator>openpyxl</dc:creator>
  <dc:description/>
  <dc:language>en-US</dc:language>
  <cp:lastModifiedBy/>
  <dcterms:modified xsi:type="dcterms:W3CDTF">2026-10-09T20:39:07Z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